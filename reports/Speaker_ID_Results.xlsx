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Results" sheetId="2" state="visible" r:id="rId4"/>
    <sheet name="Threshold Sweep" sheetId="3" state="visible" r:id="rId5"/>
    <sheet name="Duration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<sst xmlns="http://schemas.openxmlformats.org/spreadsheetml/2006/main" count="270" uniqueCount="61">
  <si>
    <t xml:space="preserve">Speaker Identification — Results Summary</t>
  </si>
  <si>
    <t xml:space="preserve">Smart Subtitle Glasses FYP · Sprint 1 Speaker Embedding Experiment</t>
  </si>
  <si>
    <t xml:space="preserve">Metric</t>
  </si>
  <si>
    <t xml:space="preserve">Value</t>
  </si>
  <si>
    <t xml:space="preserve">Known-speaker accuracy — Threshold A (0.70)</t>
  </si>
  <si>
    <t xml:space="preserve">Known-speaker accuracy — Threshold B (0.40)</t>
  </si>
  <si>
    <t xml:space="preserve">Unknown-speaker rejection — Threshold A (0.70)</t>
  </si>
  <si>
    <t xml:space="preserve">Unknown-speaker rejection — Threshold B (0.40)</t>
  </si>
  <si>
    <t xml:space="preserve">Overall accuracy — Threshold A (0.70)</t>
  </si>
  <si>
    <t xml:space="preserve">Overall accuracy — Threshold B (0.40)</t>
  </si>
  <si>
    <t xml:space="preserve">Adjust thresholds on the 'Raw Results' sheet (cells B3 / B4) — every number here recalculates automatically.</t>
  </si>
  <si>
    <t xml:space="preserve">Scope: 2 enrolled speakers (Ayesha, Sabeeh), 10 known-speaker test clips, 7 unknown-speaker clips, clean audio.</t>
  </si>
  <si>
    <t xml:space="preserve">Speaker Identification — Raw Results &amp; Threshold Calculator</t>
  </si>
  <si>
    <t xml:space="preserve">Threshold A (original):</t>
  </si>
  <si>
    <t xml:space="preserve">Threshold B (calibrated):</t>
  </si>
  <si>
    <t xml:space="preserve">Test Clip</t>
  </si>
  <si>
    <t xml:space="preserve">Enrollment Duration</t>
  </si>
  <si>
    <t xml:space="preserve">Ground Truth</t>
  </si>
  <si>
    <t xml:space="preserve">Best Match (Argmax)</t>
  </si>
  <si>
    <t xml:space="preserve">Similarity Score</t>
  </si>
  <si>
    <t xml:space="preserve">Identified @ Threshold A</t>
  </si>
  <si>
    <t xml:space="preserve">Correct @ A</t>
  </si>
  <si>
    <t xml:space="preserve">Identified @ Threshold B</t>
  </si>
  <si>
    <t xml:space="preserve">Correct @ B</t>
  </si>
  <si>
    <t xml:space="preserve">Sabeeh1.wav</t>
  </si>
  <si>
    <t xml:space="preserve">5s</t>
  </si>
  <si>
    <t xml:space="preserve">Sabeeh</t>
  </si>
  <si>
    <t xml:space="preserve">Sabeeh2.wav</t>
  </si>
  <si>
    <t xml:space="preserve">Sabeeh3.wav</t>
  </si>
  <si>
    <t xml:space="preserve">Sabeeh4.wav</t>
  </si>
  <si>
    <t xml:space="preserve">Sabeeh5.wav</t>
  </si>
  <si>
    <t xml:space="preserve">Ayesha2.wav</t>
  </si>
  <si>
    <t xml:space="preserve">Ayesha</t>
  </si>
  <si>
    <t xml:space="preserve">Ayesha3.wav</t>
  </si>
  <si>
    <t xml:space="preserve">Ayesha4.wav</t>
  </si>
  <si>
    <t xml:space="preserve">Ayesha5.wav</t>
  </si>
  <si>
    <t xml:space="preserve">Ayesha1.wav</t>
  </si>
  <si>
    <t xml:space="preserve">U4.wav</t>
  </si>
  <si>
    <t xml:space="preserve">UNKNOWN</t>
  </si>
  <si>
    <t xml:space="preserve">U2.wav</t>
  </si>
  <si>
    <t xml:space="preserve">U3.wav</t>
  </si>
  <si>
    <t xml:space="preserve">U1.wav</t>
  </si>
  <si>
    <t xml:space="preserve">10s</t>
  </si>
  <si>
    <t xml:space="preserve">15s</t>
  </si>
  <si>
    <t xml:space="preserve">30s</t>
  </si>
  <si>
    <t xml:space="preserve">SUMMARY</t>
  </si>
  <si>
    <t xml:space="preserve">@ Threshold A (0.70)</t>
  </si>
  <si>
    <t xml:space="preserve">@ Threshold B (0.40)</t>
  </si>
  <si>
    <t xml:space="preserve">Known-speaker accuracy</t>
  </si>
  <si>
    <t xml:space="preserve">Unknown-speaker rejection</t>
  </si>
  <si>
    <t xml:space="preserve">Overall accuracy</t>
  </si>
  <si>
    <t xml:space="preserve">Accuracy vs. Rejection Threshold</t>
  </si>
  <si>
    <t xml:space="preserve">Sweeps the rejection threshold from 0.20 to 0.76 and recomputes accuracy at each point from the Raw Results data.</t>
  </si>
  <si>
    <t xml:space="preserve">Threshold</t>
  </si>
  <si>
    <t xml:space="preserve">Known-Speaker Accuracy</t>
  </si>
  <si>
    <t xml:space="preserve">Unknown Rejection</t>
  </si>
  <si>
    <t xml:space="preserve">Overall Accuracy</t>
  </si>
  <si>
    <t xml:space="preserve">Accuracy by Enrollment Length</t>
  </si>
  <si>
    <t xml:space="preserve">Known-speaker identification accuracy at each enrollment duration, before vs. after threshold calibration.</t>
  </si>
  <si>
    <t xml:space="preserve">Accuracy @ Threshold A (0.70)</t>
  </si>
  <si>
    <t xml:space="preserve">Accuracy @ Threshold B (0.40)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</si>
</sst>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0.0000"/>
    <numFmt numFmtId="168" formatCode="General"/>
    <numFmt numFmtId="169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A4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.5"/>
      <color rgb="FF1B2A4A"/>
      <name val="Arial"/>
      <family val="0"/>
      <charset val="1"/>
    </font>
    <font>
      <b val="true"/>
      <sz val="11"/>
      <color rgb="FFD9534F"/>
      <name val="Arial"/>
      <family val="0"/>
      <charset val="1"/>
    </font>
    <font>
      <b val="true"/>
      <sz val="11"/>
      <color rgb="FF1F8A70"/>
      <name val="Arial"/>
      <family val="0"/>
      <charset val="1"/>
    </font>
    <font>
      <i val="true"/>
      <sz val="9.5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0.5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.5"/>
      <color rgb="FFD9534F"/>
      <name val="Arial"/>
      <family val="0"/>
      <charset val="1"/>
    </font>
    <font>
      <b val="true"/>
      <sz val="10.5"/>
      <color rgb="FF1F8A7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4F6F8"/>
        <bgColor rgb="FFF9F9F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9C4"/>
      <rgbColor rgb="FFF4F6F8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34F"/>
      <rgbColor rgb="FF6B7280"/>
      <rgbColor rgb="FF969696"/>
      <rgbColor rgb="FF003366"/>
      <rgbColor rgb="FF1F8A7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Accuracy vs. Rejection Threshold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'Threshold Sweep'!B4</c:f>
              <c:strCache>
                <c:ptCount val="1"/>
                <c:pt idx="0">
                  <c:v>Known-Speaker Accuracy</c:v>
                </c:pt>
              </c:strCache>
            </c:strRef>
          </c:tx>
          <c:spPr>
            <a:solidFill>
              <a:srgbClr val="1b2a4a"/>
            </a:solidFill>
            <a:ln w="21960">
              <a:solidFill>
                <a:srgbClr val="1b2a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'Threshold Sweep'!$A$5:$A$33</c:f>
              <c:strCache>
                <c:ptCount val="29"/>
                <c:pt idx="0">
                  <c:v>0.20</c:v>
                </c:pt>
                <c:pt idx="1">
                  <c:v>0.22</c:v>
                </c:pt>
                <c:pt idx="2">
                  <c:v>0.24</c:v>
                </c:pt>
                <c:pt idx="3">
                  <c:v>0.26</c:v>
                </c:pt>
                <c:pt idx="4">
                  <c:v>0.28</c:v>
                </c:pt>
                <c:pt idx="5">
                  <c:v>0.30</c:v>
                </c:pt>
                <c:pt idx="6">
                  <c:v>0.32</c:v>
                </c:pt>
                <c:pt idx="7">
                  <c:v>0.34</c:v>
                </c:pt>
                <c:pt idx="8">
                  <c:v>0.36</c:v>
                </c:pt>
                <c:pt idx="9">
                  <c:v>0.38</c:v>
                </c:pt>
                <c:pt idx="10">
                  <c:v>0.40</c:v>
                </c:pt>
                <c:pt idx="11">
                  <c:v>0.42</c:v>
                </c:pt>
                <c:pt idx="12">
                  <c:v>0.44</c:v>
                </c:pt>
                <c:pt idx="13">
                  <c:v>0.46</c:v>
                </c:pt>
                <c:pt idx="14">
                  <c:v>0.48</c:v>
                </c:pt>
                <c:pt idx="15">
                  <c:v>0.50</c:v>
                </c:pt>
                <c:pt idx="16">
                  <c:v>0.52</c:v>
                </c:pt>
                <c:pt idx="17">
                  <c:v>0.54</c:v>
                </c:pt>
                <c:pt idx="18">
                  <c:v>0.56</c:v>
                </c:pt>
                <c:pt idx="19">
                  <c:v>0.58</c:v>
                </c:pt>
                <c:pt idx="20">
                  <c:v>0.60</c:v>
                </c:pt>
                <c:pt idx="21">
                  <c:v>0.62</c:v>
                </c:pt>
                <c:pt idx="22">
                  <c:v>0.64</c:v>
                </c:pt>
                <c:pt idx="23">
                  <c:v>0.66</c:v>
                </c:pt>
                <c:pt idx="24">
                  <c:v>0.68</c:v>
                </c:pt>
                <c:pt idx="25">
                  <c:v>0.70</c:v>
                </c:pt>
                <c:pt idx="26">
                  <c:v>0.72</c:v>
                </c:pt>
                <c:pt idx="27">
                  <c:v>0.74</c:v>
                </c:pt>
                <c:pt idx="28">
                  <c:v>0.76</c:v>
                </c:pt>
              </c:strCache>
            </c:strRef>
          </c:cat>
          <c:val>
            <c:numRef>
              <c:f>'Threshold Sweep'!$B$5:$B$33</c:f>
              <c:numCache>
                <c:formatCode>0.0%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0.95</c:v>
                </c:pt>
                <c:pt idx="13">
                  <c:v>0.95</c:v>
                </c:pt>
                <c:pt idx="14">
                  <c:v>0.9</c:v>
                </c:pt>
                <c:pt idx="15">
                  <c:v>0.875</c:v>
                </c:pt>
                <c:pt idx="16">
                  <c:v>0.825</c:v>
                </c:pt>
                <c:pt idx="17">
                  <c:v>0.8</c:v>
                </c:pt>
                <c:pt idx="18">
                  <c:v>0.8</c:v>
                </c:pt>
                <c:pt idx="19">
                  <c:v>0.775</c:v>
                </c:pt>
                <c:pt idx="20">
                  <c:v>0.7</c:v>
                </c:pt>
                <c:pt idx="21">
                  <c:v>0.625</c:v>
                </c:pt>
                <c:pt idx="22">
                  <c:v>0.55</c:v>
                </c:pt>
                <c:pt idx="23">
                  <c:v>0.525</c:v>
                </c:pt>
                <c:pt idx="24">
                  <c:v>0.425</c:v>
                </c:pt>
                <c:pt idx="25">
                  <c:v>0.375</c:v>
                </c:pt>
                <c:pt idx="26">
                  <c:v>0.3</c:v>
                </c:pt>
                <c:pt idx="27">
                  <c:v>0.3</c:v>
                </c:pt>
                <c:pt idx="28">
                  <c:v>0.25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'Threshold Sweep'!C4</c:f>
              <c:strCache>
                <c:ptCount val="1"/>
                <c:pt idx="0">
                  <c:v>Unknown Rejection</c:v>
                </c:pt>
              </c:strCache>
            </c:strRef>
          </c:tx>
          <c:spPr>
            <a:solidFill>
              <a:srgbClr val="1f8a70"/>
            </a:solidFill>
            <a:ln w="21960">
              <a:solidFill>
                <a:srgbClr val="1f8a7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'Threshold Sweep'!$A$5:$A$33</c:f>
              <c:strCache>
                <c:ptCount val="29"/>
                <c:pt idx="0">
                  <c:v>0.20</c:v>
                </c:pt>
                <c:pt idx="1">
                  <c:v>0.22</c:v>
                </c:pt>
                <c:pt idx="2">
                  <c:v>0.24</c:v>
                </c:pt>
                <c:pt idx="3">
                  <c:v>0.26</c:v>
                </c:pt>
                <c:pt idx="4">
                  <c:v>0.28</c:v>
                </c:pt>
                <c:pt idx="5">
                  <c:v>0.30</c:v>
                </c:pt>
                <c:pt idx="6">
                  <c:v>0.32</c:v>
                </c:pt>
                <c:pt idx="7">
                  <c:v>0.34</c:v>
                </c:pt>
                <c:pt idx="8">
                  <c:v>0.36</c:v>
                </c:pt>
                <c:pt idx="9">
                  <c:v>0.38</c:v>
                </c:pt>
                <c:pt idx="10">
                  <c:v>0.40</c:v>
                </c:pt>
                <c:pt idx="11">
                  <c:v>0.42</c:v>
                </c:pt>
                <c:pt idx="12">
                  <c:v>0.44</c:v>
                </c:pt>
                <c:pt idx="13">
                  <c:v>0.46</c:v>
                </c:pt>
                <c:pt idx="14">
                  <c:v>0.48</c:v>
                </c:pt>
                <c:pt idx="15">
                  <c:v>0.50</c:v>
                </c:pt>
                <c:pt idx="16">
                  <c:v>0.52</c:v>
                </c:pt>
                <c:pt idx="17">
                  <c:v>0.54</c:v>
                </c:pt>
                <c:pt idx="18">
                  <c:v>0.56</c:v>
                </c:pt>
                <c:pt idx="19">
                  <c:v>0.58</c:v>
                </c:pt>
                <c:pt idx="20">
                  <c:v>0.60</c:v>
                </c:pt>
                <c:pt idx="21">
                  <c:v>0.62</c:v>
                </c:pt>
                <c:pt idx="22">
                  <c:v>0.64</c:v>
                </c:pt>
                <c:pt idx="23">
                  <c:v>0.66</c:v>
                </c:pt>
                <c:pt idx="24">
                  <c:v>0.68</c:v>
                </c:pt>
                <c:pt idx="25">
                  <c:v>0.70</c:v>
                </c:pt>
                <c:pt idx="26">
                  <c:v>0.72</c:v>
                </c:pt>
                <c:pt idx="27">
                  <c:v>0.74</c:v>
                </c:pt>
                <c:pt idx="28">
                  <c:v>0.76</c:v>
                </c:pt>
              </c:strCache>
            </c:strRef>
          </c:cat>
          <c:val>
            <c:numRef>
              <c:f>'Threshold Sweep'!$C$5:$C$33</c:f>
              <c:numCache>
                <c:formatCode>0.0%</c:formatCode>
                <c:ptCount val="29"/>
                <c:pt idx="0">
                  <c:v>0.3125</c:v>
                </c:pt>
                <c:pt idx="1">
                  <c:v>0.375</c:v>
                </c:pt>
                <c:pt idx="2">
                  <c:v>0.375</c:v>
                </c:pt>
                <c:pt idx="3">
                  <c:v>0.4375</c:v>
                </c:pt>
                <c:pt idx="4">
                  <c:v>0.6875</c:v>
                </c:pt>
                <c:pt idx="5">
                  <c:v>0.8125</c:v>
                </c:pt>
                <c:pt idx="6">
                  <c:v>0.875</c:v>
                </c:pt>
                <c:pt idx="7">
                  <c:v>0.9375</c:v>
                </c:pt>
                <c:pt idx="8">
                  <c:v>0.9375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682869"/>
        <c:axId val="23193540"/>
      </c:lineChart>
      <c:catAx>
        <c:axId val="18682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Rejection threshold (cosine similarity)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93540"/>
        <c:crosses val="autoZero"/>
        <c:auto val="1"/>
        <c:lblAlgn val="ctr"/>
        <c:lblOffset val="100"/>
        <c:noMultiLvlLbl val="0"/>
      </c:catAx>
      <c:valAx>
        <c:axId val="23193540"/>
        <c:scaling>
          <c:orientation val="minMax"/>
          <c:max val="1.0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Accuracy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82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Accuracy by Enrollment Length — Before vs. After Calibration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'Duration Comparison'!B4</c:f>
              <c:strCache>
                <c:ptCount val="1"/>
                <c:pt idx="0">
                  <c:v>Accuracy @ Threshold A (0.70)</c:v>
                </c:pt>
              </c:strCache>
            </c:strRef>
          </c:tx>
          <c:spPr>
            <a:solidFill>
              <a:srgbClr val="d953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'Duration Comparison'!$A$5:$A$8</c:f>
              <c:strCache>
                <c:ptCount val="4"/>
                <c:pt idx="0">
                  <c:v>5s</c:v>
                </c:pt>
                <c:pt idx="1">
                  <c:v>10s</c:v>
                </c:pt>
                <c:pt idx="2">
                  <c:v>15s</c:v>
                </c:pt>
                <c:pt idx="3">
                  <c:v>30s</c:v>
                </c:pt>
              </c:strCache>
            </c:strRef>
          </c:cat>
          <c:val>
            <c:numRef>
              <c:f>'Duration Comparison'!$B$5:$B$8</c:f>
              <c:numCache>
                <c:formatCode>0.0%</c:formatCode>
                <c:ptCount val="4"/>
                <c:pt idx="0">
                  <c:v>0.2</c:v>
                </c:pt>
                <c:pt idx="1">
                  <c:v>0.3</c:v>
                </c:pt>
                <c:pt idx="2">
                  <c:v>0.6</c:v>
                </c:pt>
                <c:pt idx="3">
                  <c:v>0.4</c:v>
                </c:pt>
              </c:numCache>
            </c:numRef>
          </c:val>
        </c:ser>
        <c:ser>
          <c:idx val="1"/>
          <c:order val="1"/>
          <c:tx>
            <c:strRef>
              <c:f>'Duration Comparison'!C4</c:f>
              <c:strCache>
                <c:ptCount val="1"/>
                <c:pt idx="0">
                  <c:v>Accuracy @ Threshold B (0.40)</c:v>
                </c:pt>
              </c:strCache>
            </c:strRef>
          </c:tx>
          <c:spPr>
            <a:solidFill>
              <a:srgbClr val="1f8a7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'Duration Comparison'!$A$5:$A$8</c:f>
              <c:strCache>
                <c:ptCount val="4"/>
                <c:pt idx="0">
                  <c:v>5s</c:v>
                </c:pt>
                <c:pt idx="1">
                  <c:v>10s</c:v>
                </c:pt>
                <c:pt idx="2">
                  <c:v>15s</c:v>
                </c:pt>
                <c:pt idx="3">
                  <c:v>30s</c:v>
                </c:pt>
              </c:strCache>
            </c:strRef>
          </c:cat>
          <c:val>
            <c:numRef>
              <c:f>'Duration Comparison'!$C$5:$C$8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41402939"/>
        <c:axId val="27392082"/>
      </c:barChart>
      <c:catAx>
        <c:axId val="414029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92082"/>
        <c:crosses val="autoZero"/>
        <c:auto val="1"/>
        <c:lblAlgn val="ctr"/>
        <c:lblOffset val="100"/>
        <c:noMultiLvlLbl val="0"/>
      </c:catAx>
      <c:valAx>
        <c:axId val="27392082"/>
        <c:scaling>
          <c:orientation val="minMax"/>
          <c:max val="1.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Known-speaker accuracy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029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17</xdr:col>
      <xdr:colOff>581760</xdr:colOff>
      <xdr:row>19</xdr:row>
      <xdr:rowOff>64800</xdr:rowOff>
    </xdr:to>
    <xdr:graphicFrame>
      <xdr:nvGraphicFramePr>
        <xdr:cNvPr id="0" name="Chart 1"/>
        <xdr:cNvGraphicFramePr/>
      </xdr:nvGraphicFramePr>
      <xdr:xfrm>
        <a:off x="596844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15</xdr:col>
      <xdr:colOff>473040</xdr:colOff>
      <xdr:row>19</xdr:row>
      <xdr:rowOff>64800</xdr:rowOff>
    </xdr:to>
    <xdr:graphicFrame>
      <xdr:nvGraphicFramePr>
        <xdr:cNvPr id="1" name="Chart 1"/>
        <xdr:cNvGraphicFramePr/>
      </xdr:nvGraphicFramePr>
      <xdr:xfrm>
        <a:off x="540432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'Raw Results'!B66</f>
        <v>0.375</v>
      </c>
    </row>
    <row r="6" customFormat="false" ht="15" hidden="false" customHeight="false" outlineLevel="0" collapsed="false">
      <c r="A6" s="6" t="s">
        <v>5</v>
      </c>
      <c r="B6" s="7" t="n">
        <f aca="false">'Raw Results'!C66</f>
        <v>1</v>
      </c>
    </row>
    <row r="7" customFormat="false" ht="15" hidden="false" customHeight="false" outlineLevel="0" collapsed="false">
      <c r="A7" s="4" t="s">
        <v>6</v>
      </c>
      <c r="B7" s="5" t="n">
        <f aca="false">'Raw Results'!B67</f>
        <v>1</v>
      </c>
    </row>
    <row r="8" customFormat="false" ht="15" hidden="false" customHeight="false" outlineLevel="0" collapsed="false">
      <c r="A8" s="6" t="s">
        <v>7</v>
      </c>
      <c r="B8" s="7" t="n">
        <f aca="false">'Raw Results'!C67</f>
        <v>1</v>
      </c>
    </row>
    <row r="9" customFormat="false" ht="15" hidden="false" customHeight="false" outlineLevel="0" collapsed="false">
      <c r="A9" s="4" t="s">
        <v>8</v>
      </c>
      <c r="B9" s="5" t="n">
        <f aca="false">'Raw Results'!B68</f>
        <v>0.553571428571429</v>
      </c>
    </row>
    <row r="10" customFormat="false" ht="15" hidden="false" customHeight="false" outlineLevel="0" collapsed="false">
      <c r="A10" s="6" t="s">
        <v>9</v>
      </c>
      <c r="B10" s="7" t="n">
        <f aca="false">'Raw Results'!C68</f>
        <v>1</v>
      </c>
    </row>
    <row r="12" customFormat="false" ht="15" hidden="false" customHeight="false" outlineLevel="0" collapsed="false">
      <c r="A12" s="8" t="s">
        <v>10</v>
      </c>
      <c r="B12" s="8"/>
      <c r="C12" s="8"/>
    </row>
    <row r="14" customFormat="false" ht="15" hidden="false" customHeight="false" outlineLevel="0" collapsed="false">
      <c r="A14" s="9" t="s">
        <v>11</v>
      </c>
      <c r="B14" s="9"/>
      <c r="C14" s="9"/>
      <c r="D14" s="9"/>
    </row>
  </sheetData>
  <mergeCells count="2">
    <mergeCell ref="A12:C1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10" t="s">
        <v>12</v>
      </c>
    </row>
    <row r="3" customFormat="false" ht="15" hidden="false" customHeight="false" outlineLevel="0" collapsed="false">
      <c r="A3" s="11" t="s">
        <v>13</v>
      </c>
      <c r="B3" s="12" t="n">
        <v>0.7</v>
      </c>
    </row>
    <row r="4" customFormat="false" ht="15" hidden="false" customHeight="false" outlineLevel="0" collapsed="false">
      <c r="A4" s="11" t="s">
        <v>14</v>
      </c>
      <c r="B4" s="13" t="n">
        <v>0.4</v>
      </c>
    </row>
    <row r="6" customFormat="false" ht="23.85" hidden="false" customHeight="false" outlineLevel="0" collapsed="false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</row>
    <row r="7" customFormat="false" ht="15" hidden="false" customHeight="false" outlineLevel="0" collapsed="false">
      <c r="A7" s="14" t="s">
        <v>24</v>
      </c>
      <c r="B7" s="14" t="s">
        <v>25</v>
      </c>
      <c r="C7" s="14" t="s">
        <v>26</v>
      </c>
      <c r="D7" s="14" t="s">
        <v>26</v>
      </c>
      <c r="E7" s="15" t="n">
        <v>0.5129</v>
      </c>
      <c r="F7" s="14" t="str">
        <f aca="false">IF(E7&gt;=$B$3,D7,"UNKNOWN")</f>
        <v>UNKNOWN</v>
      </c>
      <c r="G7" s="16" t="n">
        <f aca="false">IF(F7=C7,1,0)</f>
        <v>0</v>
      </c>
      <c r="H7" s="14" t="str">
        <f aca="false">IF(E7&gt;=$B$4,D7,"UNKNOWN")</f>
        <v>Sabeeh</v>
      </c>
      <c r="I7" s="16" t="n">
        <f aca="false">IF(H7=C7,1,0)</f>
        <v>1</v>
      </c>
    </row>
    <row r="8" customFormat="false" ht="15" hidden="false" customHeight="false" outlineLevel="0" collapsed="false">
      <c r="A8" s="17" t="s">
        <v>27</v>
      </c>
      <c r="B8" s="17" t="s">
        <v>25</v>
      </c>
      <c r="C8" s="17" t="s">
        <v>26</v>
      </c>
      <c r="D8" s="17" t="s">
        <v>26</v>
      </c>
      <c r="E8" s="18" t="n">
        <v>0.5333</v>
      </c>
      <c r="F8" s="17" t="str">
        <f aca="false">IF(E8&gt;=$B$3,D8,"UNKNOWN")</f>
        <v>UNKNOWN</v>
      </c>
      <c r="G8" s="19" t="n">
        <f aca="false">IF(F8=C8,1,0)</f>
        <v>0</v>
      </c>
      <c r="H8" s="17" t="str">
        <f aca="false">IF(E8&gt;=$B$4,D8,"UNKNOWN")</f>
        <v>Sabeeh</v>
      </c>
      <c r="I8" s="19" t="n">
        <f aca="false">IF(H8=C8,1,0)</f>
        <v>1</v>
      </c>
    </row>
    <row r="9" customFormat="false" ht="15" hidden="false" customHeight="false" outlineLevel="0" collapsed="false">
      <c r="A9" s="14" t="s">
        <v>28</v>
      </c>
      <c r="B9" s="14" t="s">
        <v>25</v>
      </c>
      <c r="C9" s="14" t="s">
        <v>26</v>
      </c>
      <c r="D9" s="14" t="s">
        <v>26</v>
      </c>
      <c r="E9" s="15" t="n">
        <v>0.4626</v>
      </c>
      <c r="F9" s="14" t="str">
        <f aca="false">IF(E9&gt;=$B$3,D9,"UNKNOWN")</f>
        <v>UNKNOWN</v>
      </c>
      <c r="G9" s="16" t="n">
        <f aca="false">IF(F9=C9,1,0)</f>
        <v>0</v>
      </c>
      <c r="H9" s="14" t="str">
        <f aca="false">IF(E9&gt;=$B$4,D9,"UNKNOWN")</f>
        <v>Sabeeh</v>
      </c>
      <c r="I9" s="16" t="n">
        <f aca="false">IF(H9=C9,1,0)</f>
        <v>1</v>
      </c>
    </row>
    <row r="10" customFormat="false" ht="15" hidden="false" customHeight="false" outlineLevel="0" collapsed="false">
      <c r="A10" s="17" t="s">
        <v>29</v>
      </c>
      <c r="B10" s="17" t="s">
        <v>25</v>
      </c>
      <c r="C10" s="17" t="s">
        <v>26</v>
      </c>
      <c r="D10" s="17" t="s">
        <v>26</v>
      </c>
      <c r="E10" s="18" t="n">
        <v>0.4289</v>
      </c>
      <c r="F10" s="17" t="str">
        <f aca="false">IF(E10&gt;=$B$3,D10,"UNKNOWN")</f>
        <v>UNKNOWN</v>
      </c>
      <c r="G10" s="19" t="n">
        <f aca="false">IF(F10=C10,1,0)</f>
        <v>0</v>
      </c>
      <c r="H10" s="17" t="str">
        <f aca="false">IF(E10&gt;=$B$4,D10,"UNKNOWN")</f>
        <v>Sabeeh</v>
      </c>
      <c r="I10" s="19" t="n">
        <f aca="false">IF(H10=C10,1,0)</f>
        <v>1</v>
      </c>
    </row>
    <row r="11" customFormat="false" ht="15" hidden="false" customHeight="false" outlineLevel="0" collapsed="false">
      <c r="A11" s="14" t="s">
        <v>30</v>
      </c>
      <c r="B11" s="14" t="s">
        <v>25</v>
      </c>
      <c r="C11" s="14" t="s">
        <v>26</v>
      </c>
      <c r="D11" s="14" t="s">
        <v>26</v>
      </c>
      <c r="E11" s="15" t="n">
        <v>0.439</v>
      </c>
      <c r="F11" s="14" t="str">
        <f aca="false">IF(E11&gt;=$B$3,D11,"UNKNOWN")</f>
        <v>UNKNOWN</v>
      </c>
      <c r="G11" s="16" t="n">
        <f aca="false">IF(F11=C11,1,0)</f>
        <v>0</v>
      </c>
      <c r="H11" s="14" t="str">
        <f aca="false">IF(E11&gt;=$B$4,D11,"UNKNOWN")</f>
        <v>Sabeeh</v>
      </c>
      <c r="I11" s="16" t="n">
        <f aca="false">IF(H11=C11,1,0)</f>
        <v>1</v>
      </c>
    </row>
    <row r="12" customFormat="false" ht="15" hidden="false" customHeight="false" outlineLevel="0" collapsed="false">
      <c r="A12" s="17" t="s">
        <v>31</v>
      </c>
      <c r="B12" s="17" t="s">
        <v>25</v>
      </c>
      <c r="C12" s="17" t="s">
        <v>32</v>
      </c>
      <c r="D12" s="17" t="s">
        <v>32</v>
      </c>
      <c r="E12" s="18" t="n">
        <v>0.7668</v>
      </c>
      <c r="F12" s="17" t="str">
        <f aca="false">IF(E12&gt;=$B$3,D12,"UNKNOWN")</f>
        <v>Ayesha</v>
      </c>
      <c r="G12" s="19" t="n">
        <f aca="false">IF(F12=C12,1,0)</f>
        <v>1</v>
      </c>
      <c r="H12" s="17" t="str">
        <f aca="false">IF(E12&gt;=$B$4,D12,"UNKNOWN")</f>
        <v>Ayesha</v>
      </c>
      <c r="I12" s="19" t="n">
        <f aca="false">IF(H12=C12,1,0)</f>
        <v>1</v>
      </c>
    </row>
    <row r="13" customFormat="false" ht="15" hidden="false" customHeight="false" outlineLevel="0" collapsed="false">
      <c r="A13" s="14" t="s">
        <v>33</v>
      </c>
      <c r="B13" s="14" t="s">
        <v>25</v>
      </c>
      <c r="C13" s="14" t="s">
        <v>32</v>
      </c>
      <c r="D13" s="14" t="s">
        <v>32</v>
      </c>
      <c r="E13" s="15" t="n">
        <v>0.5706</v>
      </c>
      <c r="F13" s="14" t="str">
        <f aca="false">IF(E13&gt;=$B$3,D13,"UNKNOWN")</f>
        <v>UNKNOWN</v>
      </c>
      <c r="G13" s="16" t="n">
        <f aca="false">IF(F13=C13,1,0)</f>
        <v>0</v>
      </c>
      <c r="H13" s="14" t="str">
        <f aca="false">IF(E13&gt;=$B$4,D13,"UNKNOWN")</f>
        <v>Ayesha</v>
      </c>
      <c r="I13" s="16" t="n">
        <f aca="false">IF(H13=C13,1,0)</f>
        <v>1</v>
      </c>
    </row>
    <row r="14" customFormat="false" ht="15" hidden="false" customHeight="false" outlineLevel="0" collapsed="false">
      <c r="A14" s="17" t="s">
        <v>34</v>
      </c>
      <c r="B14" s="17" t="s">
        <v>25</v>
      </c>
      <c r="C14" s="17" t="s">
        <v>32</v>
      </c>
      <c r="D14" s="17" t="s">
        <v>32</v>
      </c>
      <c r="E14" s="18" t="n">
        <v>0.6572</v>
      </c>
      <c r="F14" s="17" t="str">
        <f aca="false">IF(E14&gt;=$B$3,D14,"UNKNOWN")</f>
        <v>UNKNOWN</v>
      </c>
      <c r="G14" s="19" t="n">
        <f aca="false">IF(F14=C14,1,0)</f>
        <v>0</v>
      </c>
      <c r="H14" s="17" t="str">
        <f aca="false">IF(E14&gt;=$B$4,D14,"UNKNOWN")</f>
        <v>Ayesha</v>
      </c>
      <c r="I14" s="19" t="n">
        <f aca="false">IF(H14=C14,1,0)</f>
        <v>1</v>
      </c>
    </row>
    <row r="15" customFormat="false" ht="15" hidden="false" customHeight="false" outlineLevel="0" collapsed="false">
      <c r="A15" s="14" t="s">
        <v>35</v>
      </c>
      <c r="B15" s="14" t="s">
        <v>25</v>
      </c>
      <c r="C15" s="14" t="s">
        <v>32</v>
      </c>
      <c r="D15" s="14" t="s">
        <v>32</v>
      </c>
      <c r="E15" s="15" t="n">
        <v>0.6125</v>
      </c>
      <c r="F15" s="14" t="str">
        <f aca="false">IF(E15&gt;=$B$3,D15,"UNKNOWN")</f>
        <v>UNKNOWN</v>
      </c>
      <c r="G15" s="16" t="n">
        <f aca="false">IF(F15=C15,1,0)</f>
        <v>0</v>
      </c>
      <c r="H15" s="14" t="str">
        <f aca="false">IF(E15&gt;=$B$4,D15,"UNKNOWN")</f>
        <v>Ayesha</v>
      </c>
      <c r="I15" s="16" t="n">
        <f aca="false">IF(H15=C15,1,0)</f>
        <v>1</v>
      </c>
    </row>
    <row r="16" customFormat="false" ht="15" hidden="false" customHeight="false" outlineLevel="0" collapsed="false">
      <c r="A16" s="17" t="s">
        <v>36</v>
      </c>
      <c r="B16" s="17" t="s">
        <v>25</v>
      </c>
      <c r="C16" s="17" t="s">
        <v>32</v>
      </c>
      <c r="D16" s="17" t="s">
        <v>32</v>
      </c>
      <c r="E16" s="18" t="n">
        <v>0.7529</v>
      </c>
      <c r="F16" s="17" t="str">
        <f aca="false">IF(E16&gt;=$B$3,D16,"UNKNOWN")</f>
        <v>Ayesha</v>
      </c>
      <c r="G16" s="19" t="n">
        <f aca="false">IF(F16=C16,1,0)</f>
        <v>1</v>
      </c>
      <c r="H16" s="17" t="str">
        <f aca="false">IF(E16&gt;=$B$4,D16,"UNKNOWN")</f>
        <v>Ayesha</v>
      </c>
      <c r="I16" s="19" t="n">
        <f aca="false">IF(H16=C16,1,0)</f>
        <v>1</v>
      </c>
    </row>
    <row r="17" customFormat="false" ht="15" hidden="false" customHeight="false" outlineLevel="0" collapsed="false">
      <c r="A17" s="14" t="s">
        <v>37</v>
      </c>
      <c r="B17" s="14" t="s">
        <v>25</v>
      </c>
      <c r="C17" s="14" t="s">
        <v>38</v>
      </c>
      <c r="D17" s="14" t="s">
        <v>26</v>
      </c>
      <c r="E17" s="15" t="n">
        <v>0.1507</v>
      </c>
      <c r="F17" s="14" t="str">
        <f aca="false">IF(E17&gt;=$B$3,D17,"UNKNOWN")</f>
        <v>UNKNOWN</v>
      </c>
      <c r="G17" s="16" t="n">
        <f aca="false">IF(F17=C17,1,0)</f>
        <v>1</v>
      </c>
      <c r="H17" s="14" t="str">
        <f aca="false">IF(E17&gt;=$B$4,D17,"UNKNOWN")</f>
        <v>UNKNOWN</v>
      </c>
      <c r="I17" s="16" t="n">
        <f aca="false">IF(H17=C17,1,0)</f>
        <v>1</v>
      </c>
    </row>
    <row r="18" customFormat="false" ht="15" hidden="false" customHeight="false" outlineLevel="0" collapsed="false">
      <c r="A18" s="17" t="s">
        <v>39</v>
      </c>
      <c r="B18" s="17" t="s">
        <v>25</v>
      </c>
      <c r="C18" s="17" t="s">
        <v>38</v>
      </c>
      <c r="D18" s="17" t="s">
        <v>32</v>
      </c>
      <c r="E18" s="18" t="n">
        <v>0.2425</v>
      </c>
      <c r="F18" s="17" t="str">
        <f aca="false">IF(E18&gt;=$B$3,D18,"UNKNOWN")</f>
        <v>UNKNOWN</v>
      </c>
      <c r="G18" s="19" t="n">
        <f aca="false">IF(F18=C18,1,0)</f>
        <v>1</v>
      </c>
      <c r="H18" s="17" t="str">
        <f aca="false">IF(E18&gt;=$B$4,D18,"UNKNOWN")</f>
        <v>UNKNOWN</v>
      </c>
      <c r="I18" s="19" t="n">
        <f aca="false">IF(H18=C18,1,0)</f>
        <v>1</v>
      </c>
    </row>
    <row r="19" customFormat="false" ht="15" hidden="false" customHeight="false" outlineLevel="0" collapsed="false">
      <c r="A19" s="14" t="s">
        <v>40</v>
      </c>
      <c r="B19" s="14" t="s">
        <v>25</v>
      </c>
      <c r="C19" s="14" t="s">
        <v>38</v>
      </c>
      <c r="D19" s="14" t="s">
        <v>32</v>
      </c>
      <c r="E19" s="15" t="n">
        <v>0.3042</v>
      </c>
      <c r="F19" s="14" t="str">
        <f aca="false">IF(E19&gt;=$B$3,D19,"UNKNOWN")</f>
        <v>UNKNOWN</v>
      </c>
      <c r="G19" s="16" t="n">
        <f aca="false">IF(F19=C19,1,0)</f>
        <v>1</v>
      </c>
      <c r="H19" s="14" t="str">
        <f aca="false">IF(E19&gt;=$B$4,D19,"UNKNOWN")</f>
        <v>UNKNOWN</v>
      </c>
      <c r="I19" s="16" t="n">
        <f aca="false">IF(H19=C19,1,0)</f>
        <v>1</v>
      </c>
    </row>
    <row r="20" customFormat="false" ht="15" hidden="false" customHeight="false" outlineLevel="0" collapsed="false">
      <c r="A20" s="17" t="s">
        <v>41</v>
      </c>
      <c r="B20" s="17" t="s">
        <v>25</v>
      </c>
      <c r="C20" s="17" t="s">
        <v>38</v>
      </c>
      <c r="D20" s="17" t="s">
        <v>32</v>
      </c>
      <c r="E20" s="18" t="n">
        <v>0.1404</v>
      </c>
      <c r="F20" s="17" t="str">
        <f aca="false">IF(E20&gt;=$B$3,D20,"UNKNOWN")</f>
        <v>UNKNOWN</v>
      </c>
      <c r="G20" s="19" t="n">
        <f aca="false">IF(F20=C20,1,0)</f>
        <v>1</v>
      </c>
      <c r="H20" s="17" t="str">
        <f aca="false">IF(E20&gt;=$B$4,D20,"UNKNOWN")</f>
        <v>UNKNOWN</v>
      </c>
      <c r="I20" s="19" t="n">
        <f aca="false">IF(H20=C20,1,0)</f>
        <v>1</v>
      </c>
    </row>
    <row r="21" customFormat="false" ht="15" hidden="false" customHeight="false" outlineLevel="0" collapsed="false">
      <c r="A21" s="14" t="s">
        <v>24</v>
      </c>
      <c r="B21" s="14" t="s">
        <v>42</v>
      </c>
      <c r="C21" s="14" t="s">
        <v>26</v>
      </c>
      <c r="D21" s="14" t="s">
        <v>26</v>
      </c>
      <c r="E21" s="15" t="n">
        <v>0.5851</v>
      </c>
      <c r="F21" s="14" t="str">
        <f aca="false">IF(E21&gt;=$B$3,D21,"UNKNOWN")</f>
        <v>UNKNOWN</v>
      </c>
      <c r="G21" s="16" t="n">
        <f aca="false">IF(F21=C21,1,0)</f>
        <v>0</v>
      </c>
      <c r="H21" s="14" t="str">
        <f aca="false">IF(E21&gt;=$B$4,D21,"UNKNOWN")</f>
        <v>Sabeeh</v>
      </c>
      <c r="I21" s="16" t="n">
        <f aca="false">IF(H21=C21,1,0)</f>
        <v>1</v>
      </c>
    </row>
    <row r="22" customFormat="false" ht="15" hidden="false" customHeight="false" outlineLevel="0" collapsed="false">
      <c r="A22" s="17" t="s">
        <v>27</v>
      </c>
      <c r="B22" s="17" t="s">
        <v>42</v>
      </c>
      <c r="C22" s="17" t="s">
        <v>26</v>
      </c>
      <c r="D22" s="17" t="s">
        <v>26</v>
      </c>
      <c r="E22" s="18" t="n">
        <v>0.6075</v>
      </c>
      <c r="F22" s="17" t="str">
        <f aca="false">IF(E22&gt;=$B$3,D22,"UNKNOWN")</f>
        <v>UNKNOWN</v>
      </c>
      <c r="G22" s="19" t="n">
        <f aca="false">IF(F22=C22,1,0)</f>
        <v>0</v>
      </c>
      <c r="H22" s="17" t="str">
        <f aca="false">IF(E22&gt;=$B$4,D22,"UNKNOWN")</f>
        <v>Sabeeh</v>
      </c>
      <c r="I22" s="19" t="n">
        <f aca="false">IF(H22=C22,1,0)</f>
        <v>1</v>
      </c>
    </row>
    <row r="23" customFormat="false" ht="15" hidden="false" customHeight="false" outlineLevel="0" collapsed="false">
      <c r="A23" s="14" t="s">
        <v>28</v>
      </c>
      <c r="B23" s="14" t="s">
        <v>42</v>
      </c>
      <c r="C23" s="14" t="s">
        <v>26</v>
      </c>
      <c r="D23" s="14" t="s">
        <v>26</v>
      </c>
      <c r="E23" s="15" t="n">
        <v>0.5111</v>
      </c>
      <c r="F23" s="14" t="str">
        <f aca="false">IF(E23&gt;=$B$3,D23,"UNKNOWN")</f>
        <v>UNKNOWN</v>
      </c>
      <c r="G23" s="16" t="n">
        <f aca="false">IF(F23=C23,1,0)</f>
        <v>0</v>
      </c>
      <c r="H23" s="14" t="str">
        <f aca="false">IF(E23&gt;=$B$4,D23,"UNKNOWN")</f>
        <v>Sabeeh</v>
      </c>
      <c r="I23" s="16" t="n">
        <f aca="false">IF(H23=C23,1,0)</f>
        <v>1</v>
      </c>
    </row>
    <row r="24" customFormat="false" ht="15" hidden="false" customHeight="false" outlineLevel="0" collapsed="false">
      <c r="A24" s="17" t="s">
        <v>29</v>
      </c>
      <c r="B24" s="17" t="s">
        <v>42</v>
      </c>
      <c r="C24" s="17" t="s">
        <v>26</v>
      </c>
      <c r="D24" s="17" t="s">
        <v>26</v>
      </c>
      <c r="E24" s="18" t="n">
        <v>0.4613</v>
      </c>
      <c r="F24" s="17" t="str">
        <f aca="false">IF(E24&gt;=$B$3,D24,"UNKNOWN")</f>
        <v>UNKNOWN</v>
      </c>
      <c r="G24" s="19" t="n">
        <f aca="false">IF(F24=C24,1,0)</f>
        <v>0</v>
      </c>
      <c r="H24" s="17" t="str">
        <f aca="false">IF(E24&gt;=$B$4,D24,"UNKNOWN")</f>
        <v>Sabeeh</v>
      </c>
      <c r="I24" s="19" t="n">
        <f aca="false">IF(H24=C24,1,0)</f>
        <v>1</v>
      </c>
    </row>
    <row r="25" customFormat="false" ht="15" hidden="false" customHeight="false" outlineLevel="0" collapsed="false">
      <c r="A25" s="14" t="s">
        <v>30</v>
      </c>
      <c r="B25" s="14" t="s">
        <v>42</v>
      </c>
      <c r="C25" s="14" t="s">
        <v>26</v>
      </c>
      <c r="D25" s="14" t="s">
        <v>26</v>
      </c>
      <c r="E25" s="15" t="n">
        <v>0.4967</v>
      </c>
      <c r="F25" s="14" t="str">
        <f aca="false">IF(E25&gt;=$B$3,D25,"UNKNOWN")</f>
        <v>UNKNOWN</v>
      </c>
      <c r="G25" s="16" t="n">
        <f aca="false">IF(F25=C25,1,0)</f>
        <v>0</v>
      </c>
      <c r="H25" s="14" t="str">
        <f aca="false">IF(E25&gt;=$B$4,D25,"UNKNOWN")</f>
        <v>Sabeeh</v>
      </c>
      <c r="I25" s="16" t="n">
        <f aca="false">IF(H25=C25,1,0)</f>
        <v>1</v>
      </c>
    </row>
    <row r="26" customFormat="false" ht="15" hidden="false" customHeight="false" outlineLevel="0" collapsed="false">
      <c r="A26" s="17" t="s">
        <v>31</v>
      </c>
      <c r="B26" s="17" t="s">
        <v>42</v>
      </c>
      <c r="C26" s="17" t="s">
        <v>32</v>
      </c>
      <c r="D26" s="17" t="s">
        <v>32</v>
      </c>
      <c r="E26" s="18" t="n">
        <v>0.7854</v>
      </c>
      <c r="F26" s="17" t="str">
        <f aca="false">IF(E26&gt;=$B$3,D26,"UNKNOWN")</f>
        <v>Ayesha</v>
      </c>
      <c r="G26" s="19" t="n">
        <f aca="false">IF(F26=C26,1,0)</f>
        <v>1</v>
      </c>
      <c r="H26" s="17" t="str">
        <f aca="false">IF(E26&gt;=$B$4,D26,"UNKNOWN")</f>
        <v>Ayesha</v>
      </c>
      <c r="I26" s="19" t="n">
        <f aca="false">IF(H26=C26,1,0)</f>
        <v>1</v>
      </c>
    </row>
    <row r="27" customFormat="false" ht="15" hidden="false" customHeight="false" outlineLevel="0" collapsed="false">
      <c r="A27" s="14" t="s">
        <v>33</v>
      </c>
      <c r="B27" s="14" t="s">
        <v>42</v>
      </c>
      <c r="C27" s="14" t="s">
        <v>32</v>
      </c>
      <c r="D27" s="14" t="s">
        <v>32</v>
      </c>
      <c r="E27" s="15" t="n">
        <v>0.6897</v>
      </c>
      <c r="F27" s="14" t="str">
        <f aca="false">IF(E27&gt;=$B$3,D27,"UNKNOWN")</f>
        <v>UNKNOWN</v>
      </c>
      <c r="G27" s="16" t="n">
        <f aca="false">IF(F27=C27,1,0)</f>
        <v>0</v>
      </c>
      <c r="H27" s="14" t="str">
        <f aca="false">IF(E27&gt;=$B$4,D27,"UNKNOWN")</f>
        <v>Ayesha</v>
      </c>
      <c r="I27" s="16" t="n">
        <f aca="false">IF(H27=C27,1,0)</f>
        <v>1</v>
      </c>
    </row>
    <row r="28" customFormat="false" ht="15" hidden="false" customHeight="false" outlineLevel="0" collapsed="false">
      <c r="A28" s="17" t="s">
        <v>34</v>
      </c>
      <c r="B28" s="17" t="s">
        <v>42</v>
      </c>
      <c r="C28" s="17" t="s">
        <v>32</v>
      </c>
      <c r="D28" s="17" t="s">
        <v>32</v>
      </c>
      <c r="E28" s="18" t="n">
        <v>0.7818</v>
      </c>
      <c r="F28" s="17" t="str">
        <f aca="false">IF(E28&gt;=$B$3,D28,"UNKNOWN")</f>
        <v>Ayesha</v>
      </c>
      <c r="G28" s="19" t="n">
        <f aca="false">IF(F28=C28,1,0)</f>
        <v>1</v>
      </c>
      <c r="H28" s="17" t="str">
        <f aca="false">IF(E28&gt;=$B$4,D28,"UNKNOWN")</f>
        <v>Ayesha</v>
      </c>
      <c r="I28" s="19" t="n">
        <f aca="false">IF(H28=C28,1,0)</f>
        <v>1</v>
      </c>
    </row>
    <row r="29" customFormat="false" ht="15" hidden="false" customHeight="false" outlineLevel="0" collapsed="false">
      <c r="A29" s="14" t="s">
        <v>35</v>
      </c>
      <c r="B29" s="14" t="s">
        <v>42</v>
      </c>
      <c r="C29" s="14" t="s">
        <v>32</v>
      </c>
      <c r="D29" s="14" t="s">
        <v>32</v>
      </c>
      <c r="E29" s="15" t="n">
        <v>0.6745</v>
      </c>
      <c r="F29" s="14" t="str">
        <f aca="false">IF(E29&gt;=$B$3,D29,"UNKNOWN")</f>
        <v>UNKNOWN</v>
      </c>
      <c r="G29" s="16" t="n">
        <f aca="false">IF(F29=C29,1,0)</f>
        <v>0</v>
      </c>
      <c r="H29" s="14" t="str">
        <f aca="false">IF(E29&gt;=$B$4,D29,"UNKNOWN")</f>
        <v>Ayesha</v>
      </c>
      <c r="I29" s="16" t="n">
        <f aca="false">IF(H29=C29,1,0)</f>
        <v>1</v>
      </c>
    </row>
    <row r="30" customFormat="false" ht="15" hidden="false" customHeight="false" outlineLevel="0" collapsed="false">
      <c r="A30" s="17" t="s">
        <v>36</v>
      </c>
      <c r="B30" s="17" t="s">
        <v>42</v>
      </c>
      <c r="C30" s="17" t="s">
        <v>32</v>
      </c>
      <c r="D30" s="17" t="s">
        <v>32</v>
      </c>
      <c r="E30" s="18" t="n">
        <v>0.7795</v>
      </c>
      <c r="F30" s="17" t="str">
        <f aca="false">IF(E30&gt;=$B$3,D30,"UNKNOWN")</f>
        <v>Ayesha</v>
      </c>
      <c r="G30" s="19" t="n">
        <f aca="false">IF(F30=C30,1,0)</f>
        <v>1</v>
      </c>
      <c r="H30" s="17" t="str">
        <f aca="false">IF(E30&gt;=$B$4,D30,"UNKNOWN")</f>
        <v>Ayesha</v>
      </c>
      <c r="I30" s="19" t="n">
        <f aca="false">IF(H30=C30,1,0)</f>
        <v>1</v>
      </c>
    </row>
    <row r="31" customFormat="false" ht="15" hidden="false" customHeight="false" outlineLevel="0" collapsed="false">
      <c r="A31" s="14" t="s">
        <v>37</v>
      </c>
      <c r="B31" s="14" t="s">
        <v>42</v>
      </c>
      <c r="C31" s="14" t="s">
        <v>38</v>
      </c>
      <c r="D31" s="14" t="s">
        <v>32</v>
      </c>
      <c r="E31" s="15" t="n">
        <v>0.2094</v>
      </c>
      <c r="F31" s="14" t="str">
        <f aca="false">IF(E31&gt;=$B$3,D31,"UNKNOWN")</f>
        <v>UNKNOWN</v>
      </c>
      <c r="G31" s="16" t="n">
        <f aca="false">IF(F31=C31,1,0)</f>
        <v>1</v>
      </c>
      <c r="H31" s="14" t="str">
        <f aca="false">IF(E31&gt;=$B$4,D31,"UNKNOWN")</f>
        <v>UNKNOWN</v>
      </c>
      <c r="I31" s="16" t="n">
        <f aca="false">IF(H31=C31,1,0)</f>
        <v>1</v>
      </c>
    </row>
    <row r="32" customFormat="false" ht="15" hidden="false" customHeight="false" outlineLevel="0" collapsed="false">
      <c r="A32" s="17" t="s">
        <v>39</v>
      </c>
      <c r="B32" s="17" t="s">
        <v>42</v>
      </c>
      <c r="C32" s="17" t="s">
        <v>38</v>
      </c>
      <c r="D32" s="17" t="s">
        <v>32</v>
      </c>
      <c r="E32" s="18" t="n">
        <v>0.2719</v>
      </c>
      <c r="F32" s="17" t="str">
        <f aca="false">IF(E32&gt;=$B$3,D32,"UNKNOWN")</f>
        <v>UNKNOWN</v>
      </c>
      <c r="G32" s="19" t="n">
        <f aca="false">IF(F32=C32,1,0)</f>
        <v>1</v>
      </c>
      <c r="H32" s="17" t="str">
        <f aca="false">IF(E32&gt;=$B$4,D32,"UNKNOWN")</f>
        <v>UNKNOWN</v>
      </c>
      <c r="I32" s="19" t="n">
        <f aca="false">IF(H32=C32,1,0)</f>
        <v>1</v>
      </c>
    </row>
    <row r="33" customFormat="false" ht="15" hidden="false" customHeight="false" outlineLevel="0" collapsed="false">
      <c r="A33" s="14" t="s">
        <v>40</v>
      </c>
      <c r="B33" s="14" t="s">
        <v>42</v>
      </c>
      <c r="C33" s="14" t="s">
        <v>38</v>
      </c>
      <c r="D33" s="14" t="s">
        <v>26</v>
      </c>
      <c r="E33" s="15" t="n">
        <v>0.3205</v>
      </c>
      <c r="F33" s="14" t="str">
        <f aca="false">IF(E33&gt;=$B$3,D33,"UNKNOWN")</f>
        <v>UNKNOWN</v>
      </c>
      <c r="G33" s="16" t="n">
        <f aca="false">IF(F33=C33,1,0)</f>
        <v>1</v>
      </c>
      <c r="H33" s="14" t="str">
        <f aca="false">IF(E33&gt;=$B$4,D33,"UNKNOWN")</f>
        <v>UNKNOWN</v>
      </c>
      <c r="I33" s="16" t="n">
        <f aca="false">IF(H33=C33,1,0)</f>
        <v>1</v>
      </c>
    </row>
    <row r="34" customFormat="false" ht="15" hidden="false" customHeight="false" outlineLevel="0" collapsed="false">
      <c r="A34" s="17" t="s">
        <v>41</v>
      </c>
      <c r="B34" s="17" t="s">
        <v>42</v>
      </c>
      <c r="C34" s="17" t="s">
        <v>38</v>
      </c>
      <c r="D34" s="17" t="s">
        <v>26</v>
      </c>
      <c r="E34" s="18" t="n">
        <v>0.167</v>
      </c>
      <c r="F34" s="17" t="str">
        <f aca="false">IF(E34&gt;=$B$3,D34,"UNKNOWN")</f>
        <v>UNKNOWN</v>
      </c>
      <c r="G34" s="19" t="n">
        <f aca="false">IF(F34=C34,1,0)</f>
        <v>1</v>
      </c>
      <c r="H34" s="17" t="str">
        <f aca="false">IF(E34&gt;=$B$4,D34,"UNKNOWN")</f>
        <v>UNKNOWN</v>
      </c>
      <c r="I34" s="19" t="n">
        <f aca="false">IF(H34=C34,1,0)</f>
        <v>1</v>
      </c>
    </row>
    <row r="35" customFormat="false" ht="15" hidden="false" customHeight="false" outlineLevel="0" collapsed="false">
      <c r="A35" s="14" t="s">
        <v>24</v>
      </c>
      <c r="B35" s="14" t="s">
        <v>43</v>
      </c>
      <c r="C35" s="14" t="s">
        <v>26</v>
      </c>
      <c r="D35" s="14" t="s">
        <v>26</v>
      </c>
      <c r="E35" s="15" t="n">
        <v>0.6832</v>
      </c>
      <c r="F35" s="14" t="str">
        <f aca="false">IF(E35&gt;=$B$3,D35,"UNKNOWN")</f>
        <v>UNKNOWN</v>
      </c>
      <c r="G35" s="16" t="n">
        <f aca="false">IF(F35=C35,1,0)</f>
        <v>0</v>
      </c>
      <c r="H35" s="14" t="str">
        <f aca="false">IF(E35&gt;=$B$4,D35,"UNKNOWN")</f>
        <v>Sabeeh</v>
      </c>
      <c r="I35" s="16" t="n">
        <f aca="false">IF(H35=C35,1,0)</f>
        <v>1</v>
      </c>
    </row>
    <row r="36" customFormat="false" ht="15" hidden="false" customHeight="false" outlineLevel="0" collapsed="false">
      <c r="A36" s="17" t="s">
        <v>27</v>
      </c>
      <c r="B36" s="17" t="s">
        <v>43</v>
      </c>
      <c r="C36" s="17" t="s">
        <v>26</v>
      </c>
      <c r="D36" s="17" t="s">
        <v>26</v>
      </c>
      <c r="E36" s="18" t="n">
        <v>0.712</v>
      </c>
      <c r="F36" s="17" t="str">
        <f aca="false">IF(E36&gt;=$B$3,D36,"UNKNOWN")</f>
        <v>Sabeeh</v>
      </c>
      <c r="G36" s="19" t="n">
        <f aca="false">IF(F36=C36,1,0)</f>
        <v>1</v>
      </c>
      <c r="H36" s="17" t="str">
        <f aca="false">IF(E36&gt;=$B$4,D36,"UNKNOWN")</f>
        <v>Sabeeh</v>
      </c>
      <c r="I36" s="19" t="n">
        <f aca="false">IF(H36=C36,1,0)</f>
        <v>1</v>
      </c>
    </row>
    <row r="37" customFormat="false" ht="15" hidden="false" customHeight="false" outlineLevel="0" collapsed="false">
      <c r="A37" s="14" t="s">
        <v>28</v>
      </c>
      <c r="B37" s="14" t="s">
        <v>43</v>
      </c>
      <c r="C37" s="14" t="s">
        <v>26</v>
      </c>
      <c r="D37" s="14" t="s">
        <v>26</v>
      </c>
      <c r="E37" s="15" t="n">
        <v>0.6392</v>
      </c>
      <c r="F37" s="14" t="str">
        <f aca="false">IF(E37&gt;=$B$3,D37,"UNKNOWN")</f>
        <v>UNKNOWN</v>
      </c>
      <c r="G37" s="16" t="n">
        <f aca="false">IF(F37=C37,1,0)</f>
        <v>0</v>
      </c>
      <c r="H37" s="14" t="str">
        <f aca="false">IF(E37&gt;=$B$4,D37,"UNKNOWN")</f>
        <v>Sabeeh</v>
      </c>
      <c r="I37" s="16" t="n">
        <f aca="false">IF(H37=C37,1,0)</f>
        <v>1</v>
      </c>
    </row>
    <row r="38" customFormat="false" ht="15" hidden="false" customHeight="false" outlineLevel="0" collapsed="false">
      <c r="A38" s="17" t="s">
        <v>29</v>
      </c>
      <c r="B38" s="17" t="s">
        <v>43</v>
      </c>
      <c r="C38" s="17" t="s">
        <v>26</v>
      </c>
      <c r="D38" s="17" t="s">
        <v>26</v>
      </c>
      <c r="E38" s="18" t="n">
        <v>0.6262</v>
      </c>
      <c r="F38" s="17" t="str">
        <f aca="false">IF(E38&gt;=$B$3,D38,"UNKNOWN")</f>
        <v>UNKNOWN</v>
      </c>
      <c r="G38" s="19" t="n">
        <f aca="false">IF(F38=C38,1,0)</f>
        <v>0</v>
      </c>
      <c r="H38" s="17" t="str">
        <f aca="false">IF(E38&gt;=$B$4,D38,"UNKNOWN")</f>
        <v>Sabeeh</v>
      </c>
      <c r="I38" s="19" t="n">
        <f aca="false">IF(H38=C38,1,0)</f>
        <v>1</v>
      </c>
    </row>
    <row r="39" customFormat="false" ht="15" hidden="false" customHeight="false" outlineLevel="0" collapsed="false">
      <c r="A39" s="14" t="s">
        <v>30</v>
      </c>
      <c r="B39" s="14" t="s">
        <v>43</v>
      </c>
      <c r="C39" s="14" t="s">
        <v>26</v>
      </c>
      <c r="D39" s="14" t="s">
        <v>26</v>
      </c>
      <c r="E39" s="15" t="n">
        <v>0.6215</v>
      </c>
      <c r="F39" s="14" t="str">
        <f aca="false">IF(E39&gt;=$B$3,D39,"UNKNOWN")</f>
        <v>UNKNOWN</v>
      </c>
      <c r="G39" s="16" t="n">
        <f aca="false">IF(F39=C39,1,0)</f>
        <v>0</v>
      </c>
      <c r="H39" s="14" t="str">
        <f aca="false">IF(E39&gt;=$B$4,D39,"UNKNOWN")</f>
        <v>Sabeeh</v>
      </c>
      <c r="I39" s="16" t="n">
        <f aca="false">IF(H39=C39,1,0)</f>
        <v>1</v>
      </c>
    </row>
    <row r="40" customFormat="false" ht="15" hidden="false" customHeight="false" outlineLevel="0" collapsed="false">
      <c r="A40" s="17" t="s">
        <v>31</v>
      </c>
      <c r="B40" s="17" t="s">
        <v>43</v>
      </c>
      <c r="C40" s="17" t="s">
        <v>32</v>
      </c>
      <c r="D40" s="17" t="s">
        <v>32</v>
      </c>
      <c r="E40" s="18" t="n">
        <v>0.8214</v>
      </c>
      <c r="F40" s="17" t="str">
        <f aca="false">IF(E40&gt;=$B$3,D40,"UNKNOWN")</f>
        <v>Ayesha</v>
      </c>
      <c r="G40" s="19" t="n">
        <f aca="false">IF(F40=C40,1,0)</f>
        <v>1</v>
      </c>
      <c r="H40" s="17" t="str">
        <f aca="false">IF(E40&gt;=$B$4,D40,"UNKNOWN")</f>
        <v>Ayesha</v>
      </c>
      <c r="I40" s="19" t="n">
        <f aca="false">IF(H40=C40,1,0)</f>
        <v>1</v>
      </c>
    </row>
    <row r="41" customFormat="false" ht="15" hidden="false" customHeight="false" outlineLevel="0" collapsed="false">
      <c r="A41" s="14" t="s">
        <v>33</v>
      </c>
      <c r="B41" s="14" t="s">
        <v>43</v>
      </c>
      <c r="C41" s="14" t="s">
        <v>32</v>
      </c>
      <c r="D41" s="14" t="s">
        <v>32</v>
      </c>
      <c r="E41" s="15" t="n">
        <v>0.7425</v>
      </c>
      <c r="F41" s="14" t="str">
        <f aca="false">IF(E41&gt;=$B$3,D41,"UNKNOWN")</f>
        <v>Ayesha</v>
      </c>
      <c r="G41" s="16" t="n">
        <f aca="false">IF(F41=C41,1,0)</f>
        <v>1</v>
      </c>
      <c r="H41" s="14" t="str">
        <f aca="false">IF(E41&gt;=$B$4,D41,"UNKNOWN")</f>
        <v>Ayesha</v>
      </c>
      <c r="I41" s="16" t="n">
        <f aca="false">IF(H41=C41,1,0)</f>
        <v>1</v>
      </c>
    </row>
    <row r="42" customFormat="false" ht="15" hidden="false" customHeight="false" outlineLevel="0" collapsed="false">
      <c r="A42" s="17" t="s">
        <v>34</v>
      </c>
      <c r="B42" s="17" t="s">
        <v>43</v>
      </c>
      <c r="C42" s="17" t="s">
        <v>32</v>
      </c>
      <c r="D42" s="17" t="s">
        <v>32</v>
      </c>
      <c r="E42" s="18" t="n">
        <v>0.7837</v>
      </c>
      <c r="F42" s="17" t="str">
        <f aca="false">IF(E42&gt;=$B$3,D42,"UNKNOWN")</f>
        <v>Ayesha</v>
      </c>
      <c r="G42" s="19" t="n">
        <f aca="false">IF(F42=C42,1,0)</f>
        <v>1</v>
      </c>
      <c r="H42" s="17" t="str">
        <f aca="false">IF(E42&gt;=$B$4,D42,"UNKNOWN")</f>
        <v>Ayesha</v>
      </c>
      <c r="I42" s="19" t="n">
        <f aca="false">IF(H42=C42,1,0)</f>
        <v>1</v>
      </c>
    </row>
    <row r="43" customFormat="false" ht="15" hidden="false" customHeight="false" outlineLevel="0" collapsed="false">
      <c r="A43" s="14" t="s">
        <v>35</v>
      </c>
      <c r="B43" s="14" t="s">
        <v>43</v>
      </c>
      <c r="C43" s="14" t="s">
        <v>32</v>
      </c>
      <c r="D43" s="14" t="s">
        <v>32</v>
      </c>
      <c r="E43" s="15" t="n">
        <v>0.7098</v>
      </c>
      <c r="F43" s="14" t="str">
        <f aca="false">IF(E43&gt;=$B$3,D43,"UNKNOWN")</f>
        <v>Ayesha</v>
      </c>
      <c r="G43" s="16" t="n">
        <f aca="false">IF(F43=C43,1,0)</f>
        <v>1</v>
      </c>
      <c r="H43" s="14" t="str">
        <f aca="false">IF(E43&gt;=$B$4,D43,"UNKNOWN")</f>
        <v>Ayesha</v>
      </c>
      <c r="I43" s="16" t="n">
        <f aca="false">IF(H43=C43,1,0)</f>
        <v>1</v>
      </c>
    </row>
    <row r="44" customFormat="false" ht="15" hidden="false" customHeight="false" outlineLevel="0" collapsed="false">
      <c r="A44" s="17" t="s">
        <v>36</v>
      </c>
      <c r="B44" s="17" t="s">
        <v>43</v>
      </c>
      <c r="C44" s="17" t="s">
        <v>32</v>
      </c>
      <c r="D44" s="17" t="s">
        <v>32</v>
      </c>
      <c r="E44" s="18" t="n">
        <v>0.8481</v>
      </c>
      <c r="F44" s="17" t="str">
        <f aca="false">IF(E44&gt;=$B$3,D44,"UNKNOWN")</f>
        <v>Ayesha</v>
      </c>
      <c r="G44" s="19" t="n">
        <f aca="false">IF(F44=C44,1,0)</f>
        <v>1</v>
      </c>
      <c r="H44" s="17" t="str">
        <f aca="false">IF(E44&gt;=$B$4,D44,"UNKNOWN")</f>
        <v>Ayesha</v>
      </c>
      <c r="I44" s="19" t="n">
        <f aca="false">IF(H44=C44,1,0)</f>
        <v>1</v>
      </c>
    </row>
    <row r="45" customFormat="false" ht="15" hidden="false" customHeight="false" outlineLevel="0" collapsed="false">
      <c r="A45" s="14" t="s">
        <v>37</v>
      </c>
      <c r="B45" s="14" t="s">
        <v>43</v>
      </c>
      <c r="C45" s="14" t="s">
        <v>38</v>
      </c>
      <c r="D45" s="14" t="s">
        <v>26</v>
      </c>
      <c r="E45" s="15" t="n">
        <v>0.2936</v>
      </c>
      <c r="F45" s="14" t="str">
        <f aca="false">IF(E45&gt;=$B$3,D45,"UNKNOWN")</f>
        <v>UNKNOWN</v>
      </c>
      <c r="G45" s="16" t="n">
        <f aca="false">IF(F45=C45,1,0)</f>
        <v>1</v>
      </c>
      <c r="H45" s="14" t="str">
        <f aca="false">IF(E45&gt;=$B$4,D45,"UNKNOWN")</f>
        <v>UNKNOWN</v>
      </c>
      <c r="I45" s="16" t="n">
        <f aca="false">IF(H45=C45,1,0)</f>
        <v>1</v>
      </c>
    </row>
    <row r="46" customFormat="false" ht="15" hidden="false" customHeight="false" outlineLevel="0" collapsed="false">
      <c r="A46" s="17" t="s">
        <v>39</v>
      </c>
      <c r="B46" s="17" t="s">
        <v>43</v>
      </c>
      <c r="C46" s="17" t="s">
        <v>38</v>
      </c>
      <c r="D46" s="17" t="s">
        <v>32</v>
      </c>
      <c r="E46" s="18" t="n">
        <v>0.2704</v>
      </c>
      <c r="F46" s="17" t="str">
        <f aca="false">IF(E46&gt;=$B$3,D46,"UNKNOWN")</f>
        <v>UNKNOWN</v>
      </c>
      <c r="G46" s="19" t="n">
        <f aca="false">IF(F46=C46,1,0)</f>
        <v>1</v>
      </c>
      <c r="H46" s="17" t="str">
        <f aca="false">IF(E46&gt;=$B$4,D46,"UNKNOWN")</f>
        <v>UNKNOWN</v>
      </c>
      <c r="I46" s="19" t="n">
        <f aca="false">IF(H46=C46,1,0)</f>
        <v>1</v>
      </c>
    </row>
    <row r="47" customFormat="false" ht="15" hidden="false" customHeight="false" outlineLevel="0" collapsed="false">
      <c r="A47" s="14" t="s">
        <v>40</v>
      </c>
      <c r="B47" s="14" t="s">
        <v>43</v>
      </c>
      <c r="C47" s="14" t="s">
        <v>38</v>
      </c>
      <c r="D47" s="14" t="s">
        <v>26</v>
      </c>
      <c r="E47" s="15" t="n">
        <v>0.27</v>
      </c>
      <c r="F47" s="14" t="str">
        <f aca="false">IF(E47&gt;=$B$3,D47,"UNKNOWN")</f>
        <v>UNKNOWN</v>
      </c>
      <c r="G47" s="16" t="n">
        <f aca="false">IF(F47=C47,1,0)</f>
        <v>1</v>
      </c>
      <c r="H47" s="14" t="str">
        <f aca="false">IF(E47&gt;=$B$4,D47,"UNKNOWN")</f>
        <v>UNKNOWN</v>
      </c>
      <c r="I47" s="16" t="n">
        <f aca="false">IF(H47=C47,1,0)</f>
        <v>1</v>
      </c>
    </row>
    <row r="48" customFormat="false" ht="15" hidden="false" customHeight="false" outlineLevel="0" collapsed="false">
      <c r="A48" s="17" t="s">
        <v>41</v>
      </c>
      <c r="B48" s="17" t="s">
        <v>43</v>
      </c>
      <c r="C48" s="17" t="s">
        <v>38</v>
      </c>
      <c r="D48" s="17" t="s">
        <v>32</v>
      </c>
      <c r="E48" s="18" t="n">
        <v>0.1303</v>
      </c>
      <c r="F48" s="17" t="str">
        <f aca="false">IF(E48&gt;=$B$3,D48,"UNKNOWN")</f>
        <v>UNKNOWN</v>
      </c>
      <c r="G48" s="19" t="n">
        <f aca="false">IF(F48=C48,1,0)</f>
        <v>1</v>
      </c>
      <c r="H48" s="17" t="str">
        <f aca="false">IF(E48&gt;=$B$4,D48,"UNKNOWN")</f>
        <v>UNKNOWN</v>
      </c>
      <c r="I48" s="19" t="n">
        <f aca="false">IF(H48=C48,1,0)</f>
        <v>1</v>
      </c>
    </row>
    <row r="49" customFormat="false" ht="15" hidden="false" customHeight="false" outlineLevel="0" collapsed="false">
      <c r="A49" s="14" t="s">
        <v>24</v>
      </c>
      <c r="B49" s="14" t="s">
        <v>44</v>
      </c>
      <c r="C49" s="14" t="s">
        <v>26</v>
      </c>
      <c r="D49" s="14" t="s">
        <v>26</v>
      </c>
      <c r="E49" s="15" t="n">
        <v>0.6736</v>
      </c>
      <c r="F49" s="14" t="str">
        <f aca="false">IF(E49&gt;=$B$3,D49,"UNKNOWN")</f>
        <v>UNKNOWN</v>
      </c>
      <c r="G49" s="16" t="n">
        <f aca="false">IF(F49=C49,1,0)</f>
        <v>0</v>
      </c>
      <c r="H49" s="14" t="str">
        <f aca="false">IF(E49&gt;=$B$4,D49,"UNKNOWN")</f>
        <v>Sabeeh</v>
      </c>
      <c r="I49" s="16" t="n">
        <f aca="false">IF(H49=C49,1,0)</f>
        <v>1</v>
      </c>
    </row>
    <row r="50" customFormat="false" ht="15" hidden="false" customHeight="false" outlineLevel="0" collapsed="false">
      <c r="A50" s="17" t="s">
        <v>27</v>
      </c>
      <c r="B50" s="17" t="s">
        <v>44</v>
      </c>
      <c r="C50" s="17" t="s">
        <v>26</v>
      </c>
      <c r="D50" s="17" t="s">
        <v>26</v>
      </c>
      <c r="E50" s="18" t="n">
        <v>0.666</v>
      </c>
      <c r="F50" s="17" t="str">
        <f aca="false">IF(E50&gt;=$B$3,D50,"UNKNOWN")</f>
        <v>UNKNOWN</v>
      </c>
      <c r="G50" s="19" t="n">
        <f aca="false">IF(F50=C50,1,0)</f>
        <v>0</v>
      </c>
      <c r="H50" s="17" t="str">
        <f aca="false">IF(E50&gt;=$B$4,D50,"UNKNOWN")</f>
        <v>Sabeeh</v>
      </c>
      <c r="I50" s="19" t="n">
        <f aca="false">IF(H50=C50,1,0)</f>
        <v>1</v>
      </c>
    </row>
    <row r="51" customFormat="false" ht="15" hidden="false" customHeight="false" outlineLevel="0" collapsed="false">
      <c r="A51" s="14" t="s">
        <v>28</v>
      </c>
      <c r="B51" s="14" t="s">
        <v>44</v>
      </c>
      <c r="C51" s="14" t="s">
        <v>26</v>
      </c>
      <c r="D51" s="14" t="s">
        <v>26</v>
      </c>
      <c r="E51" s="15" t="n">
        <v>0.6081</v>
      </c>
      <c r="F51" s="14" t="str">
        <f aca="false">IF(E51&gt;=$B$3,D51,"UNKNOWN")</f>
        <v>UNKNOWN</v>
      </c>
      <c r="G51" s="16" t="n">
        <f aca="false">IF(F51=C51,1,0)</f>
        <v>0</v>
      </c>
      <c r="H51" s="14" t="str">
        <f aca="false">IF(E51&gt;=$B$4,D51,"UNKNOWN")</f>
        <v>Sabeeh</v>
      </c>
      <c r="I51" s="16" t="n">
        <f aca="false">IF(H51=C51,1,0)</f>
        <v>1</v>
      </c>
    </row>
    <row r="52" customFormat="false" ht="15" hidden="false" customHeight="false" outlineLevel="0" collapsed="false">
      <c r="A52" s="17" t="s">
        <v>29</v>
      </c>
      <c r="B52" s="17" t="s">
        <v>44</v>
      </c>
      <c r="C52" s="17" t="s">
        <v>26</v>
      </c>
      <c r="D52" s="17" t="s">
        <v>26</v>
      </c>
      <c r="E52" s="18" t="n">
        <v>0.5852</v>
      </c>
      <c r="F52" s="17" t="str">
        <f aca="false">IF(E52&gt;=$B$3,D52,"UNKNOWN")</f>
        <v>UNKNOWN</v>
      </c>
      <c r="G52" s="19" t="n">
        <f aca="false">IF(F52=C52,1,0)</f>
        <v>0</v>
      </c>
      <c r="H52" s="17" t="str">
        <f aca="false">IF(E52&gt;=$B$4,D52,"UNKNOWN")</f>
        <v>Sabeeh</v>
      </c>
      <c r="I52" s="19" t="n">
        <f aca="false">IF(H52=C52,1,0)</f>
        <v>1</v>
      </c>
    </row>
    <row r="53" customFormat="false" ht="15" hidden="false" customHeight="false" outlineLevel="0" collapsed="false">
      <c r="A53" s="14" t="s">
        <v>30</v>
      </c>
      <c r="B53" s="14" t="s">
        <v>44</v>
      </c>
      <c r="C53" s="14" t="s">
        <v>26</v>
      </c>
      <c r="D53" s="14" t="s">
        <v>26</v>
      </c>
      <c r="E53" s="15" t="n">
        <v>0.5982</v>
      </c>
      <c r="F53" s="14" t="str">
        <f aca="false">IF(E53&gt;=$B$3,D53,"UNKNOWN")</f>
        <v>UNKNOWN</v>
      </c>
      <c r="G53" s="16" t="n">
        <f aca="false">IF(F53=C53,1,0)</f>
        <v>0</v>
      </c>
      <c r="H53" s="14" t="str">
        <f aca="false">IF(E53&gt;=$B$4,D53,"UNKNOWN")</f>
        <v>Sabeeh</v>
      </c>
      <c r="I53" s="16" t="n">
        <f aca="false">IF(H53=C53,1,0)</f>
        <v>1</v>
      </c>
    </row>
    <row r="54" customFormat="false" ht="15" hidden="false" customHeight="false" outlineLevel="0" collapsed="false">
      <c r="A54" s="17" t="s">
        <v>31</v>
      </c>
      <c r="B54" s="17" t="s">
        <v>44</v>
      </c>
      <c r="C54" s="17" t="s">
        <v>32</v>
      </c>
      <c r="D54" s="17" t="s">
        <v>32</v>
      </c>
      <c r="E54" s="18" t="n">
        <v>0.8215</v>
      </c>
      <c r="F54" s="17" t="str">
        <f aca="false">IF(E54&gt;=$B$3,D54,"UNKNOWN")</f>
        <v>Ayesha</v>
      </c>
      <c r="G54" s="19" t="n">
        <f aca="false">IF(F54=C54,1,0)</f>
        <v>1</v>
      </c>
      <c r="H54" s="17" t="str">
        <f aca="false">IF(E54&gt;=$B$4,D54,"UNKNOWN")</f>
        <v>Ayesha</v>
      </c>
      <c r="I54" s="19" t="n">
        <f aca="false">IF(H54=C54,1,0)</f>
        <v>1</v>
      </c>
    </row>
    <row r="55" customFormat="false" ht="15" hidden="false" customHeight="false" outlineLevel="0" collapsed="false">
      <c r="A55" s="14" t="s">
        <v>33</v>
      </c>
      <c r="B55" s="14" t="s">
        <v>44</v>
      </c>
      <c r="C55" s="14" t="s">
        <v>32</v>
      </c>
      <c r="D55" s="14" t="s">
        <v>32</v>
      </c>
      <c r="E55" s="15" t="n">
        <v>0.6684</v>
      </c>
      <c r="F55" s="14" t="str">
        <f aca="false">IF(E55&gt;=$B$3,D55,"UNKNOWN")</f>
        <v>UNKNOWN</v>
      </c>
      <c r="G55" s="16" t="n">
        <f aca="false">IF(F55=C55,1,0)</f>
        <v>0</v>
      </c>
      <c r="H55" s="14" t="str">
        <f aca="false">IF(E55&gt;=$B$4,D55,"UNKNOWN")</f>
        <v>Ayesha</v>
      </c>
      <c r="I55" s="16" t="n">
        <f aca="false">IF(H55=C55,1,0)</f>
        <v>1</v>
      </c>
    </row>
    <row r="56" customFormat="false" ht="15" hidden="false" customHeight="false" outlineLevel="0" collapsed="false">
      <c r="A56" s="17" t="s">
        <v>34</v>
      </c>
      <c r="B56" s="17" t="s">
        <v>44</v>
      </c>
      <c r="C56" s="17" t="s">
        <v>32</v>
      </c>
      <c r="D56" s="17" t="s">
        <v>32</v>
      </c>
      <c r="E56" s="18" t="n">
        <v>0.7609</v>
      </c>
      <c r="F56" s="17" t="str">
        <f aca="false">IF(E56&gt;=$B$3,D56,"UNKNOWN")</f>
        <v>Ayesha</v>
      </c>
      <c r="G56" s="19" t="n">
        <f aca="false">IF(F56=C56,1,0)</f>
        <v>1</v>
      </c>
      <c r="H56" s="17" t="str">
        <f aca="false">IF(E56&gt;=$B$4,D56,"UNKNOWN")</f>
        <v>Ayesha</v>
      </c>
      <c r="I56" s="19" t="n">
        <f aca="false">IF(H56=C56,1,0)</f>
        <v>1</v>
      </c>
    </row>
    <row r="57" customFormat="false" ht="15" hidden="false" customHeight="false" outlineLevel="0" collapsed="false">
      <c r="A57" s="14" t="s">
        <v>35</v>
      </c>
      <c r="B57" s="14" t="s">
        <v>44</v>
      </c>
      <c r="C57" s="14" t="s">
        <v>32</v>
      </c>
      <c r="D57" s="14" t="s">
        <v>32</v>
      </c>
      <c r="E57" s="15" t="n">
        <v>0.7104</v>
      </c>
      <c r="F57" s="14" t="str">
        <f aca="false">IF(E57&gt;=$B$3,D57,"UNKNOWN")</f>
        <v>Ayesha</v>
      </c>
      <c r="G57" s="16" t="n">
        <f aca="false">IF(F57=C57,1,0)</f>
        <v>1</v>
      </c>
      <c r="H57" s="14" t="str">
        <f aca="false">IF(E57&gt;=$B$4,D57,"UNKNOWN")</f>
        <v>Ayesha</v>
      </c>
      <c r="I57" s="16" t="n">
        <f aca="false">IF(H57=C57,1,0)</f>
        <v>1</v>
      </c>
    </row>
    <row r="58" customFormat="false" ht="15" hidden="false" customHeight="false" outlineLevel="0" collapsed="false">
      <c r="A58" s="17" t="s">
        <v>36</v>
      </c>
      <c r="B58" s="17" t="s">
        <v>44</v>
      </c>
      <c r="C58" s="17" t="s">
        <v>32</v>
      </c>
      <c r="D58" s="17" t="s">
        <v>32</v>
      </c>
      <c r="E58" s="18" t="n">
        <v>0.8248</v>
      </c>
      <c r="F58" s="17" t="str">
        <f aca="false">IF(E58&gt;=$B$3,D58,"UNKNOWN")</f>
        <v>Ayesha</v>
      </c>
      <c r="G58" s="19" t="n">
        <f aca="false">IF(F58=C58,1,0)</f>
        <v>1</v>
      </c>
      <c r="H58" s="17" t="str">
        <f aca="false">IF(E58&gt;=$B$4,D58,"UNKNOWN")</f>
        <v>Ayesha</v>
      </c>
      <c r="I58" s="19" t="n">
        <f aca="false">IF(H58=C58,1,0)</f>
        <v>1</v>
      </c>
    </row>
    <row r="59" customFormat="false" ht="15" hidden="false" customHeight="false" outlineLevel="0" collapsed="false">
      <c r="A59" s="14" t="s">
        <v>37</v>
      </c>
      <c r="B59" s="14" t="s">
        <v>44</v>
      </c>
      <c r="C59" s="14" t="s">
        <v>38</v>
      </c>
      <c r="D59" s="14" t="s">
        <v>26</v>
      </c>
      <c r="E59" s="15" t="n">
        <v>0.2795</v>
      </c>
      <c r="F59" s="14" t="str">
        <f aca="false">IF(E59&gt;=$B$3,D59,"UNKNOWN")</f>
        <v>UNKNOWN</v>
      </c>
      <c r="G59" s="16" t="n">
        <f aca="false">IF(F59=C59,1,0)</f>
        <v>1</v>
      </c>
      <c r="H59" s="14" t="str">
        <f aca="false">IF(E59&gt;=$B$4,D59,"UNKNOWN")</f>
        <v>UNKNOWN</v>
      </c>
      <c r="I59" s="16" t="n">
        <f aca="false">IF(H59=C59,1,0)</f>
        <v>1</v>
      </c>
    </row>
    <row r="60" customFormat="false" ht="15" hidden="false" customHeight="false" outlineLevel="0" collapsed="false">
      <c r="A60" s="17" t="s">
        <v>39</v>
      </c>
      <c r="B60" s="17" t="s">
        <v>44</v>
      </c>
      <c r="C60" s="17" t="s">
        <v>38</v>
      </c>
      <c r="D60" s="17" t="s">
        <v>32</v>
      </c>
      <c r="E60" s="18" t="n">
        <v>0.2867</v>
      </c>
      <c r="F60" s="17" t="str">
        <f aca="false">IF(E60&gt;=$B$3,D60,"UNKNOWN")</f>
        <v>UNKNOWN</v>
      </c>
      <c r="G60" s="19" t="n">
        <f aca="false">IF(F60=C60,1,0)</f>
        <v>1</v>
      </c>
      <c r="H60" s="17" t="str">
        <f aca="false">IF(E60&gt;=$B$4,D60,"UNKNOWN")</f>
        <v>UNKNOWN</v>
      </c>
      <c r="I60" s="19" t="n">
        <f aca="false">IF(H60=C60,1,0)</f>
        <v>1</v>
      </c>
    </row>
    <row r="61" customFormat="false" ht="15" hidden="false" customHeight="false" outlineLevel="0" collapsed="false">
      <c r="A61" s="14" t="s">
        <v>40</v>
      </c>
      <c r="B61" s="14" t="s">
        <v>44</v>
      </c>
      <c r="C61" s="14" t="s">
        <v>38</v>
      </c>
      <c r="D61" s="14" t="s">
        <v>26</v>
      </c>
      <c r="E61" s="15" t="n">
        <v>0.365</v>
      </c>
      <c r="F61" s="14" t="str">
        <f aca="false">IF(E61&gt;=$B$3,D61,"UNKNOWN")</f>
        <v>UNKNOWN</v>
      </c>
      <c r="G61" s="16" t="n">
        <f aca="false">IF(F61=C61,1,0)</f>
        <v>1</v>
      </c>
      <c r="H61" s="14" t="str">
        <f aca="false">IF(E61&gt;=$B$4,D61,"UNKNOWN")</f>
        <v>UNKNOWN</v>
      </c>
      <c r="I61" s="16" t="n">
        <f aca="false">IF(H61=C61,1,0)</f>
        <v>1</v>
      </c>
    </row>
    <row r="62" customFormat="false" ht="15" hidden="false" customHeight="false" outlineLevel="0" collapsed="false">
      <c r="A62" s="17" t="s">
        <v>41</v>
      </c>
      <c r="B62" s="17" t="s">
        <v>44</v>
      </c>
      <c r="C62" s="17" t="s">
        <v>38</v>
      </c>
      <c r="D62" s="17" t="s">
        <v>26</v>
      </c>
      <c r="E62" s="18" t="n">
        <v>0.0998</v>
      </c>
      <c r="F62" s="17" t="str">
        <f aca="false">IF(E62&gt;=$B$3,D62,"UNKNOWN")</f>
        <v>UNKNOWN</v>
      </c>
      <c r="G62" s="19" t="n">
        <f aca="false">IF(F62=C62,1,0)</f>
        <v>1</v>
      </c>
      <c r="H62" s="17" t="str">
        <f aca="false">IF(E62&gt;=$B$4,D62,"UNKNOWN")</f>
        <v>UNKNOWN</v>
      </c>
      <c r="I62" s="19" t="n">
        <f aca="false">IF(H62=C62,1,0)</f>
        <v>1</v>
      </c>
    </row>
    <row r="64" customFormat="false" ht="15" hidden="false" customHeight="false" outlineLevel="0" collapsed="false">
      <c r="A64" s="20" t="s">
        <v>45</v>
      </c>
    </row>
    <row r="65" customFormat="false" ht="23.85" hidden="false" customHeight="false" outlineLevel="0" collapsed="false">
      <c r="A65" s="3" t="s">
        <v>2</v>
      </c>
      <c r="B65" s="3" t="s">
        <v>46</v>
      </c>
      <c r="C65" s="3" t="s">
        <v>47</v>
      </c>
    </row>
    <row r="66" customFormat="false" ht="15" hidden="false" customHeight="false" outlineLevel="0" collapsed="false">
      <c r="A66" s="21" t="s">
        <v>48</v>
      </c>
      <c r="B66" s="22" t="n">
        <f aca="false">COUNTIFS(C7:C62,"&lt;&gt;UNKNOWN",G7:G62,1)/COUNTIF(C7:C62,"&lt;&gt;UNKNOWN")</f>
        <v>0.375</v>
      </c>
      <c r="C66" s="23" t="n">
        <f aca="false">COUNTIFS(C7:C62,"&lt;&gt;UNKNOWN",I7:I62,1)/COUNTIF(C7:C62,"&lt;&gt;UNKNOWN")</f>
        <v>1</v>
      </c>
    </row>
    <row r="67" customFormat="false" ht="15" hidden="false" customHeight="false" outlineLevel="0" collapsed="false">
      <c r="A67" s="21" t="s">
        <v>49</v>
      </c>
      <c r="B67" s="22" t="n">
        <f aca="false">COUNTIFS(C7:C62,"UNKNOWN",G7:G62,1)/COUNTIF(C7:C62,"UNKNOWN")</f>
        <v>1</v>
      </c>
      <c r="C67" s="23" t="n">
        <f aca="false">COUNTIFS(C7:C62,"UNKNOWN",I7:I62,1)/COUNTIF(C7:C62,"UNKNOWN")</f>
        <v>1</v>
      </c>
    </row>
    <row r="68" customFormat="false" ht="15" hidden="false" customHeight="false" outlineLevel="0" collapsed="false">
      <c r="A68" s="21" t="s">
        <v>50</v>
      </c>
      <c r="B68" s="22" t="n">
        <f aca="false">COUNTIF(G7:G62,1)/COUNT(G7:G62)</f>
        <v>0.553571428571429</v>
      </c>
      <c r="C68" s="23" t="n">
        <f aca="false">COUNTIF(I7:I62,1)/COUNT(I7:I62)</f>
        <v>1</v>
      </c>
    </row>
  </sheetData>
  <conditionalFormatting sqref="G7:G62">
    <cfRule type="colorScale" priority="2">
      <colorScale>
        <cfvo type="num" val="0"/>
        <cfvo type="num" val="1"/>
        <color rgb="FFF8B4B0"/>
        <color rgb="FF9FE0C4"/>
      </colorScale>
    </cfRule>
  </conditionalFormatting>
  <conditionalFormatting sqref="I7:I62">
    <cfRule type="colorScale" priority="3">
      <colorScale>
        <cfvo type="num" val="0"/>
        <cfvo type="num" val="1"/>
        <color rgb="FFF8B4B0"/>
        <color rgb="FF9FE0C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0" t="s">
        <v>51</v>
      </c>
    </row>
    <row r="2" customFormat="false" ht="15" hidden="false" customHeight="false" outlineLevel="0" collapsed="false">
      <c r="A2" s="8" t="s">
        <v>52</v>
      </c>
      <c r="B2" s="8"/>
      <c r="C2" s="8"/>
      <c r="D2" s="8"/>
    </row>
    <row r="4" customFormat="false" ht="23.8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</row>
    <row r="5" customFormat="false" ht="15" hidden="false" customHeight="false" outlineLevel="0" collapsed="false">
      <c r="A5" s="24" t="n">
        <v>0.2</v>
      </c>
      <c r="B5" s="25" t="n">
        <f aca="false">SUMPRODUCT(('Raw Results'!$C$7:$C$62&lt;&gt;"UNKNOWN")*('Raw Results'!$E$7:$E$62&gt;=A5)*('Raw Results'!$D$7:$D$62='Raw Results'!$C$7:$C$62))/COUNTIF('Raw Results'!$C$7:$C$62,"&lt;&gt;UNKNOWN")</f>
        <v>1</v>
      </c>
      <c r="C5" s="25" t="n">
        <f aca="false">SUMPRODUCT(('Raw Results'!$C$7:$C$62="UNKNOWN")*('Raw Results'!$E$7:$E$62&lt;A5))/COUNTIF('Raw Results'!$C$7:$C$62,"UNKNOWN")</f>
        <v>0.3125</v>
      </c>
      <c r="D5" s="25" t="n">
        <f aca="false">(SUMPRODUCT(('Raw Results'!$C$7:$C$62&lt;&gt;"UNKNOWN")*('Raw Results'!$E$7:$E$62&gt;=A5)*('Raw Results'!$D$7:$D$62='Raw Results'!$C$7:$C$62))+SUMPRODUCT(('Raw Results'!$C$7:$C$62="UNKNOWN")*('Raw Results'!$E$7:$E$62&lt;A5)))/56</f>
        <v>0.803571428571429</v>
      </c>
    </row>
    <row r="6" customFormat="false" ht="15" hidden="false" customHeight="false" outlineLevel="0" collapsed="false">
      <c r="A6" s="26" t="n">
        <v>0.22</v>
      </c>
      <c r="B6" s="27" t="n">
        <f aca="false">SUMPRODUCT(('Raw Results'!$C$7:$C$62&lt;&gt;"UNKNOWN")*('Raw Results'!$E$7:$E$62&gt;=A6)*('Raw Results'!$D$7:$D$62='Raw Results'!$C$7:$C$62))/COUNTIF('Raw Results'!$C$7:$C$62,"&lt;&gt;UNKNOWN")</f>
        <v>1</v>
      </c>
      <c r="C6" s="27" t="n">
        <f aca="false">SUMPRODUCT(('Raw Results'!$C$7:$C$62="UNKNOWN")*('Raw Results'!$E$7:$E$62&lt;A6))/COUNTIF('Raw Results'!$C$7:$C$62,"UNKNOWN")</f>
        <v>0.375</v>
      </c>
      <c r="D6" s="27" t="n">
        <f aca="false">(SUMPRODUCT(('Raw Results'!$C$7:$C$62&lt;&gt;"UNKNOWN")*('Raw Results'!$E$7:$E$62&gt;=A6)*('Raw Results'!$D$7:$D$62='Raw Results'!$C$7:$C$62))+SUMPRODUCT(('Raw Results'!$C$7:$C$62="UNKNOWN")*('Raw Results'!$E$7:$E$62&lt;A6)))/56</f>
        <v>0.821428571428571</v>
      </c>
    </row>
    <row r="7" customFormat="false" ht="15" hidden="false" customHeight="false" outlineLevel="0" collapsed="false">
      <c r="A7" s="24" t="n">
        <v>0.24</v>
      </c>
      <c r="B7" s="25" t="n">
        <f aca="false">SUMPRODUCT(('Raw Results'!$C$7:$C$62&lt;&gt;"UNKNOWN")*('Raw Results'!$E$7:$E$62&gt;=A7)*('Raw Results'!$D$7:$D$62='Raw Results'!$C$7:$C$62))/COUNTIF('Raw Results'!$C$7:$C$62,"&lt;&gt;UNKNOWN")</f>
        <v>1</v>
      </c>
      <c r="C7" s="25" t="n">
        <f aca="false">SUMPRODUCT(('Raw Results'!$C$7:$C$62="UNKNOWN")*('Raw Results'!$E$7:$E$62&lt;A7))/COUNTIF('Raw Results'!$C$7:$C$62,"UNKNOWN")</f>
        <v>0.375</v>
      </c>
      <c r="D7" s="25" t="n">
        <f aca="false">(SUMPRODUCT(('Raw Results'!$C$7:$C$62&lt;&gt;"UNKNOWN")*('Raw Results'!$E$7:$E$62&gt;=A7)*('Raw Results'!$D$7:$D$62='Raw Results'!$C$7:$C$62))+SUMPRODUCT(('Raw Results'!$C$7:$C$62="UNKNOWN")*('Raw Results'!$E$7:$E$62&lt;A7)))/56</f>
        <v>0.821428571428571</v>
      </c>
    </row>
    <row r="8" customFormat="false" ht="15" hidden="false" customHeight="false" outlineLevel="0" collapsed="false">
      <c r="A8" s="26" t="n">
        <v>0.26</v>
      </c>
      <c r="B8" s="27" t="n">
        <f aca="false">SUMPRODUCT(('Raw Results'!$C$7:$C$62&lt;&gt;"UNKNOWN")*('Raw Results'!$E$7:$E$62&gt;=A8)*('Raw Results'!$D$7:$D$62='Raw Results'!$C$7:$C$62))/COUNTIF('Raw Results'!$C$7:$C$62,"&lt;&gt;UNKNOWN")</f>
        <v>1</v>
      </c>
      <c r="C8" s="27" t="n">
        <f aca="false">SUMPRODUCT(('Raw Results'!$C$7:$C$62="UNKNOWN")*('Raw Results'!$E$7:$E$62&lt;A8))/COUNTIF('Raw Results'!$C$7:$C$62,"UNKNOWN")</f>
        <v>0.4375</v>
      </c>
      <c r="D8" s="27" t="n">
        <f aca="false">(SUMPRODUCT(('Raw Results'!$C$7:$C$62&lt;&gt;"UNKNOWN")*('Raw Results'!$E$7:$E$62&gt;=A8)*('Raw Results'!$D$7:$D$62='Raw Results'!$C$7:$C$62))+SUMPRODUCT(('Raw Results'!$C$7:$C$62="UNKNOWN")*('Raw Results'!$E$7:$E$62&lt;A8)))/56</f>
        <v>0.839285714285714</v>
      </c>
    </row>
    <row r="9" customFormat="false" ht="15" hidden="false" customHeight="false" outlineLevel="0" collapsed="false">
      <c r="A9" s="24" t="n">
        <v>0.28</v>
      </c>
      <c r="B9" s="25" t="n">
        <f aca="false">SUMPRODUCT(('Raw Results'!$C$7:$C$62&lt;&gt;"UNKNOWN")*('Raw Results'!$E$7:$E$62&gt;=A9)*('Raw Results'!$D$7:$D$62='Raw Results'!$C$7:$C$62))/COUNTIF('Raw Results'!$C$7:$C$62,"&lt;&gt;UNKNOWN")</f>
        <v>1</v>
      </c>
      <c r="C9" s="25" t="n">
        <f aca="false">SUMPRODUCT(('Raw Results'!$C$7:$C$62="UNKNOWN")*('Raw Results'!$E$7:$E$62&lt;A9))/COUNTIF('Raw Results'!$C$7:$C$62,"UNKNOWN")</f>
        <v>0.6875</v>
      </c>
      <c r="D9" s="25" t="n">
        <f aca="false">(SUMPRODUCT(('Raw Results'!$C$7:$C$62&lt;&gt;"UNKNOWN")*('Raw Results'!$E$7:$E$62&gt;=A9)*('Raw Results'!$D$7:$D$62='Raw Results'!$C$7:$C$62))+SUMPRODUCT(('Raw Results'!$C$7:$C$62="UNKNOWN")*('Raw Results'!$E$7:$E$62&lt;A9)))/56</f>
        <v>0.910714285714286</v>
      </c>
    </row>
    <row r="10" customFormat="false" ht="15" hidden="false" customHeight="false" outlineLevel="0" collapsed="false">
      <c r="A10" s="26" t="n">
        <v>0.3</v>
      </c>
      <c r="B10" s="27" t="n">
        <f aca="false">SUMPRODUCT(('Raw Results'!$C$7:$C$62&lt;&gt;"UNKNOWN")*('Raw Results'!$E$7:$E$62&gt;=A10)*('Raw Results'!$D$7:$D$62='Raw Results'!$C$7:$C$62))/COUNTIF('Raw Results'!$C$7:$C$62,"&lt;&gt;UNKNOWN")</f>
        <v>1</v>
      </c>
      <c r="C10" s="27" t="n">
        <f aca="false">SUMPRODUCT(('Raw Results'!$C$7:$C$62="UNKNOWN")*('Raw Results'!$E$7:$E$62&lt;A10))/COUNTIF('Raw Results'!$C$7:$C$62,"UNKNOWN")</f>
        <v>0.8125</v>
      </c>
      <c r="D10" s="27" t="n">
        <f aca="false">(SUMPRODUCT(('Raw Results'!$C$7:$C$62&lt;&gt;"UNKNOWN")*('Raw Results'!$E$7:$E$62&gt;=A10)*('Raw Results'!$D$7:$D$62='Raw Results'!$C$7:$C$62))+SUMPRODUCT(('Raw Results'!$C$7:$C$62="UNKNOWN")*('Raw Results'!$E$7:$E$62&lt;A10)))/56</f>
        <v>0.946428571428571</v>
      </c>
    </row>
    <row r="11" customFormat="false" ht="15" hidden="false" customHeight="false" outlineLevel="0" collapsed="false">
      <c r="A11" s="24" t="n">
        <v>0.32</v>
      </c>
      <c r="B11" s="25" t="n">
        <f aca="false">SUMPRODUCT(('Raw Results'!$C$7:$C$62&lt;&gt;"UNKNOWN")*('Raw Results'!$E$7:$E$62&gt;=A11)*('Raw Results'!$D$7:$D$62='Raw Results'!$C$7:$C$62))/COUNTIF('Raw Results'!$C$7:$C$62,"&lt;&gt;UNKNOWN")</f>
        <v>1</v>
      </c>
      <c r="C11" s="25" t="n">
        <f aca="false">SUMPRODUCT(('Raw Results'!$C$7:$C$62="UNKNOWN")*('Raw Results'!$E$7:$E$62&lt;A11))/COUNTIF('Raw Results'!$C$7:$C$62,"UNKNOWN")</f>
        <v>0.875</v>
      </c>
      <c r="D11" s="25" t="n">
        <f aca="false">(SUMPRODUCT(('Raw Results'!$C$7:$C$62&lt;&gt;"UNKNOWN")*('Raw Results'!$E$7:$E$62&gt;=A11)*('Raw Results'!$D$7:$D$62='Raw Results'!$C$7:$C$62))+SUMPRODUCT(('Raw Results'!$C$7:$C$62="UNKNOWN")*('Raw Results'!$E$7:$E$62&lt;A11)))/56</f>
        <v>0.964285714285714</v>
      </c>
    </row>
    <row r="12" customFormat="false" ht="15" hidden="false" customHeight="false" outlineLevel="0" collapsed="false">
      <c r="A12" s="26" t="n">
        <v>0.34</v>
      </c>
      <c r="B12" s="27" t="n">
        <f aca="false">SUMPRODUCT(('Raw Results'!$C$7:$C$62&lt;&gt;"UNKNOWN")*('Raw Results'!$E$7:$E$62&gt;=A12)*('Raw Results'!$D$7:$D$62='Raw Results'!$C$7:$C$62))/COUNTIF('Raw Results'!$C$7:$C$62,"&lt;&gt;UNKNOWN")</f>
        <v>1</v>
      </c>
      <c r="C12" s="27" t="n">
        <f aca="false">SUMPRODUCT(('Raw Results'!$C$7:$C$62="UNKNOWN")*('Raw Results'!$E$7:$E$62&lt;A12))/COUNTIF('Raw Results'!$C$7:$C$62,"UNKNOWN")</f>
        <v>0.9375</v>
      </c>
      <c r="D12" s="27" t="n">
        <f aca="false">(SUMPRODUCT(('Raw Results'!$C$7:$C$62&lt;&gt;"UNKNOWN")*('Raw Results'!$E$7:$E$62&gt;=A12)*('Raw Results'!$D$7:$D$62='Raw Results'!$C$7:$C$62))+SUMPRODUCT(('Raw Results'!$C$7:$C$62="UNKNOWN")*('Raw Results'!$E$7:$E$62&lt;A12)))/56</f>
        <v>0.982142857142857</v>
      </c>
    </row>
    <row r="13" customFormat="false" ht="15" hidden="false" customHeight="false" outlineLevel="0" collapsed="false">
      <c r="A13" s="24" t="n">
        <v>0.36</v>
      </c>
      <c r="B13" s="25" t="n">
        <f aca="false">SUMPRODUCT(('Raw Results'!$C$7:$C$62&lt;&gt;"UNKNOWN")*('Raw Results'!$E$7:$E$62&gt;=A13)*('Raw Results'!$D$7:$D$62='Raw Results'!$C$7:$C$62))/COUNTIF('Raw Results'!$C$7:$C$62,"&lt;&gt;UNKNOWN")</f>
        <v>1</v>
      </c>
      <c r="C13" s="25" t="n">
        <f aca="false">SUMPRODUCT(('Raw Results'!$C$7:$C$62="UNKNOWN")*('Raw Results'!$E$7:$E$62&lt;A13))/COUNTIF('Raw Results'!$C$7:$C$62,"UNKNOWN")</f>
        <v>0.9375</v>
      </c>
      <c r="D13" s="25" t="n">
        <f aca="false">(SUMPRODUCT(('Raw Results'!$C$7:$C$62&lt;&gt;"UNKNOWN")*('Raw Results'!$E$7:$E$62&gt;=A13)*('Raw Results'!$D$7:$D$62='Raw Results'!$C$7:$C$62))+SUMPRODUCT(('Raw Results'!$C$7:$C$62="UNKNOWN")*('Raw Results'!$E$7:$E$62&lt;A13)))/56</f>
        <v>0.982142857142857</v>
      </c>
    </row>
    <row r="14" customFormat="false" ht="15" hidden="false" customHeight="false" outlineLevel="0" collapsed="false">
      <c r="A14" s="26" t="n">
        <v>0.38</v>
      </c>
      <c r="B14" s="27" t="n">
        <f aca="false">SUMPRODUCT(('Raw Results'!$C$7:$C$62&lt;&gt;"UNKNOWN")*('Raw Results'!$E$7:$E$62&gt;=A14)*('Raw Results'!$D$7:$D$62='Raw Results'!$C$7:$C$62))/COUNTIF('Raw Results'!$C$7:$C$62,"&lt;&gt;UNKNOWN")</f>
        <v>1</v>
      </c>
      <c r="C14" s="27" t="n">
        <f aca="false">SUMPRODUCT(('Raw Results'!$C$7:$C$62="UNKNOWN")*('Raw Results'!$E$7:$E$62&lt;A14))/COUNTIF('Raw Results'!$C$7:$C$62,"UNKNOWN")</f>
        <v>1</v>
      </c>
      <c r="D14" s="27" t="n">
        <f aca="false">(SUMPRODUCT(('Raw Results'!$C$7:$C$62&lt;&gt;"UNKNOWN")*('Raw Results'!$E$7:$E$62&gt;=A14)*('Raw Results'!$D$7:$D$62='Raw Results'!$C$7:$C$62))+SUMPRODUCT(('Raw Results'!$C$7:$C$62="UNKNOWN")*('Raw Results'!$E$7:$E$62&lt;A14)))/56</f>
        <v>1</v>
      </c>
    </row>
    <row r="15" customFormat="false" ht="15" hidden="false" customHeight="false" outlineLevel="0" collapsed="false">
      <c r="A15" s="24" t="n">
        <v>0.4</v>
      </c>
      <c r="B15" s="25" t="n">
        <f aca="false">SUMPRODUCT(('Raw Results'!$C$7:$C$62&lt;&gt;"UNKNOWN")*('Raw Results'!$E$7:$E$62&gt;=A15)*('Raw Results'!$D$7:$D$62='Raw Results'!$C$7:$C$62))/COUNTIF('Raw Results'!$C$7:$C$62,"&lt;&gt;UNKNOWN")</f>
        <v>1</v>
      </c>
      <c r="C15" s="25" t="n">
        <f aca="false">SUMPRODUCT(('Raw Results'!$C$7:$C$62="UNKNOWN")*('Raw Results'!$E$7:$E$62&lt;A15))/COUNTIF('Raw Results'!$C$7:$C$62,"UNKNOWN")</f>
        <v>1</v>
      </c>
      <c r="D15" s="25" t="n">
        <f aca="false">(SUMPRODUCT(('Raw Results'!$C$7:$C$62&lt;&gt;"UNKNOWN")*('Raw Results'!$E$7:$E$62&gt;=A15)*('Raw Results'!$D$7:$D$62='Raw Results'!$C$7:$C$62))+SUMPRODUCT(('Raw Results'!$C$7:$C$62="UNKNOWN")*('Raw Results'!$E$7:$E$62&lt;A15)))/56</f>
        <v>1</v>
      </c>
    </row>
    <row r="16" customFormat="false" ht="15" hidden="false" customHeight="false" outlineLevel="0" collapsed="false">
      <c r="A16" s="26" t="n">
        <v>0.42</v>
      </c>
      <c r="B16" s="27" t="n">
        <f aca="false">SUMPRODUCT(('Raw Results'!$C$7:$C$62&lt;&gt;"UNKNOWN")*('Raw Results'!$E$7:$E$62&gt;=A16)*('Raw Results'!$D$7:$D$62='Raw Results'!$C$7:$C$62))/COUNTIF('Raw Results'!$C$7:$C$62,"&lt;&gt;UNKNOWN")</f>
        <v>1</v>
      </c>
      <c r="C16" s="27" t="n">
        <f aca="false">SUMPRODUCT(('Raw Results'!$C$7:$C$62="UNKNOWN")*('Raw Results'!$E$7:$E$62&lt;A16))/COUNTIF('Raw Results'!$C$7:$C$62,"UNKNOWN")</f>
        <v>1</v>
      </c>
      <c r="D16" s="27" t="n">
        <f aca="false">(SUMPRODUCT(('Raw Results'!$C$7:$C$62&lt;&gt;"UNKNOWN")*('Raw Results'!$E$7:$E$62&gt;=A16)*('Raw Results'!$D$7:$D$62='Raw Results'!$C$7:$C$62))+SUMPRODUCT(('Raw Results'!$C$7:$C$62="UNKNOWN")*('Raw Results'!$E$7:$E$62&lt;A16)))/56</f>
        <v>1</v>
      </c>
    </row>
    <row r="17" customFormat="false" ht="15" hidden="false" customHeight="false" outlineLevel="0" collapsed="false">
      <c r="A17" s="24" t="n">
        <v>0.44</v>
      </c>
      <c r="B17" s="25" t="n">
        <f aca="false">SUMPRODUCT(('Raw Results'!$C$7:$C$62&lt;&gt;"UNKNOWN")*('Raw Results'!$E$7:$E$62&gt;=A17)*('Raw Results'!$D$7:$D$62='Raw Results'!$C$7:$C$62))/COUNTIF('Raw Results'!$C$7:$C$62,"&lt;&gt;UNKNOWN")</f>
        <v>0.95</v>
      </c>
      <c r="C17" s="25" t="n">
        <f aca="false">SUMPRODUCT(('Raw Results'!$C$7:$C$62="UNKNOWN")*('Raw Results'!$E$7:$E$62&lt;A17))/COUNTIF('Raw Results'!$C$7:$C$62,"UNKNOWN")</f>
        <v>1</v>
      </c>
      <c r="D17" s="25" t="n">
        <f aca="false">(SUMPRODUCT(('Raw Results'!$C$7:$C$62&lt;&gt;"UNKNOWN")*('Raw Results'!$E$7:$E$62&gt;=A17)*('Raw Results'!$D$7:$D$62='Raw Results'!$C$7:$C$62))+SUMPRODUCT(('Raw Results'!$C$7:$C$62="UNKNOWN")*('Raw Results'!$E$7:$E$62&lt;A17)))/56</f>
        <v>0.964285714285714</v>
      </c>
    </row>
    <row r="18" customFormat="false" ht="15" hidden="false" customHeight="false" outlineLevel="0" collapsed="false">
      <c r="A18" s="26" t="n">
        <v>0.46</v>
      </c>
      <c r="B18" s="27" t="n">
        <f aca="false">SUMPRODUCT(('Raw Results'!$C$7:$C$62&lt;&gt;"UNKNOWN")*('Raw Results'!$E$7:$E$62&gt;=A18)*('Raw Results'!$D$7:$D$62='Raw Results'!$C$7:$C$62))/COUNTIF('Raw Results'!$C$7:$C$62,"&lt;&gt;UNKNOWN")</f>
        <v>0.95</v>
      </c>
      <c r="C18" s="27" t="n">
        <f aca="false">SUMPRODUCT(('Raw Results'!$C$7:$C$62="UNKNOWN")*('Raw Results'!$E$7:$E$62&lt;A18))/COUNTIF('Raw Results'!$C$7:$C$62,"UNKNOWN")</f>
        <v>1</v>
      </c>
      <c r="D18" s="27" t="n">
        <f aca="false">(SUMPRODUCT(('Raw Results'!$C$7:$C$62&lt;&gt;"UNKNOWN")*('Raw Results'!$E$7:$E$62&gt;=A18)*('Raw Results'!$D$7:$D$62='Raw Results'!$C$7:$C$62))+SUMPRODUCT(('Raw Results'!$C$7:$C$62="UNKNOWN")*('Raw Results'!$E$7:$E$62&lt;A18)))/56</f>
        <v>0.964285714285714</v>
      </c>
    </row>
    <row r="19" customFormat="false" ht="15" hidden="false" customHeight="false" outlineLevel="0" collapsed="false">
      <c r="A19" s="24" t="n">
        <v>0.48</v>
      </c>
      <c r="B19" s="25" t="n">
        <f aca="false">SUMPRODUCT(('Raw Results'!$C$7:$C$62&lt;&gt;"UNKNOWN")*('Raw Results'!$E$7:$E$62&gt;=A19)*('Raw Results'!$D$7:$D$62='Raw Results'!$C$7:$C$62))/COUNTIF('Raw Results'!$C$7:$C$62,"&lt;&gt;UNKNOWN")</f>
        <v>0.9</v>
      </c>
      <c r="C19" s="25" t="n">
        <f aca="false">SUMPRODUCT(('Raw Results'!$C$7:$C$62="UNKNOWN")*('Raw Results'!$E$7:$E$62&lt;A19))/COUNTIF('Raw Results'!$C$7:$C$62,"UNKNOWN")</f>
        <v>1</v>
      </c>
      <c r="D19" s="25" t="n">
        <f aca="false">(SUMPRODUCT(('Raw Results'!$C$7:$C$62&lt;&gt;"UNKNOWN")*('Raw Results'!$E$7:$E$62&gt;=A19)*('Raw Results'!$D$7:$D$62='Raw Results'!$C$7:$C$62))+SUMPRODUCT(('Raw Results'!$C$7:$C$62="UNKNOWN")*('Raw Results'!$E$7:$E$62&lt;A19)))/56</f>
        <v>0.928571428571429</v>
      </c>
    </row>
    <row r="20" customFormat="false" ht="15" hidden="false" customHeight="false" outlineLevel="0" collapsed="false">
      <c r="A20" s="26" t="n">
        <v>0.5</v>
      </c>
      <c r="B20" s="27" t="n">
        <f aca="false">SUMPRODUCT(('Raw Results'!$C$7:$C$62&lt;&gt;"UNKNOWN")*('Raw Results'!$E$7:$E$62&gt;=A20)*('Raw Results'!$D$7:$D$62='Raw Results'!$C$7:$C$62))/COUNTIF('Raw Results'!$C$7:$C$62,"&lt;&gt;UNKNOWN")</f>
        <v>0.875</v>
      </c>
      <c r="C20" s="27" t="n">
        <f aca="false">SUMPRODUCT(('Raw Results'!$C$7:$C$62="UNKNOWN")*('Raw Results'!$E$7:$E$62&lt;A20))/COUNTIF('Raw Results'!$C$7:$C$62,"UNKNOWN")</f>
        <v>1</v>
      </c>
      <c r="D20" s="27" t="n">
        <f aca="false">(SUMPRODUCT(('Raw Results'!$C$7:$C$62&lt;&gt;"UNKNOWN")*('Raw Results'!$E$7:$E$62&gt;=A20)*('Raw Results'!$D$7:$D$62='Raw Results'!$C$7:$C$62))+SUMPRODUCT(('Raw Results'!$C$7:$C$62="UNKNOWN")*('Raw Results'!$E$7:$E$62&lt;A20)))/56</f>
        <v>0.910714285714286</v>
      </c>
    </row>
    <row r="21" customFormat="false" ht="15" hidden="false" customHeight="false" outlineLevel="0" collapsed="false">
      <c r="A21" s="24" t="n">
        <v>0.52</v>
      </c>
      <c r="B21" s="25" t="n">
        <f aca="false">SUMPRODUCT(('Raw Results'!$C$7:$C$62&lt;&gt;"UNKNOWN")*('Raw Results'!$E$7:$E$62&gt;=A21)*('Raw Results'!$D$7:$D$62='Raw Results'!$C$7:$C$62))/COUNTIF('Raw Results'!$C$7:$C$62,"&lt;&gt;UNKNOWN")</f>
        <v>0.825</v>
      </c>
      <c r="C21" s="25" t="n">
        <f aca="false">SUMPRODUCT(('Raw Results'!$C$7:$C$62="UNKNOWN")*('Raw Results'!$E$7:$E$62&lt;A21))/COUNTIF('Raw Results'!$C$7:$C$62,"UNKNOWN")</f>
        <v>1</v>
      </c>
      <c r="D21" s="25" t="n">
        <f aca="false">(SUMPRODUCT(('Raw Results'!$C$7:$C$62&lt;&gt;"UNKNOWN")*('Raw Results'!$E$7:$E$62&gt;=A21)*('Raw Results'!$D$7:$D$62='Raw Results'!$C$7:$C$62))+SUMPRODUCT(('Raw Results'!$C$7:$C$62="UNKNOWN")*('Raw Results'!$E$7:$E$62&lt;A21)))/56</f>
        <v>0.875</v>
      </c>
    </row>
    <row r="22" customFormat="false" ht="15" hidden="false" customHeight="false" outlineLevel="0" collapsed="false">
      <c r="A22" s="26" t="n">
        <v>0.54</v>
      </c>
      <c r="B22" s="27" t="n">
        <f aca="false">SUMPRODUCT(('Raw Results'!$C$7:$C$62&lt;&gt;"UNKNOWN")*('Raw Results'!$E$7:$E$62&gt;=A22)*('Raw Results'!$D$7:$D$62='Raw Results'!$C$7:$C$62))/COUNTIF('Raw Results'!$C$7:$C$62,"&lt;&gt;UNKNOWN")</f>
        <v>0.8</v>
      </c>
      <c r="C22" s="27" t="n">
        <f aca="false">SUMPRODUCT(('Raw Results'!$C$7:$C$62="UNKNOWN")*('Raw Results'!$E$7:$E$62&lt;A22))/COUNTIF('Raw Results'!$C$7:$C$62,"UNKNOWN")</f>
        <v>1</v>
      </c>
      <c r="D22" s="27" t="n">
        <f aca="false">(SUMPRODUCT(('Raw Results'!$C$7:$C$62&lt;&gt;"UNKNOWN")*('Raw Results'!$E$7:$E$62&gt;=A22)*('Raw Results'!$D$7:$D$62='Raw Results'!$C$7:$C$62))+SUMPRODUCT(('Raw Results'!$C$7:$C$62="UNKNOWN")*('Raw Results'!$E$7:$E$62&lt;A22)))/56</f>
        <v>0.857142857142857</v>
      </c>
    </row>
    <row r="23" customFormat="false" ht="15" hidden="false" customHeight="false" outlineLevel="0" collapsed="false">
      <c r="A23" s="24" t="n">
        <v>0.56</v>
      </c>
      <c r="B23" s="25" t="n">
        <f aca="false">SUMPRODUCT(('Raw Results'!$C$7:$C$62&lt;&gt;"UNKNOWN")*('Raw Results'!$E$7:$E$62&gt;=A23)*('Raw Results'!$D$7:$D$62='Raw Results'!$C$7:$C$62))/COUNTIF('Raw Results'!$C$7:$C$62,"&lt;&gt;UNKNOWN")</f>
        <v>0.8</v>
      </c>
      <c r="C23" s="25" t="n">
        <f aca="false">SUMPRODUCT(('Raw Results'!$C$7:$C$62="UNKNOWN")*('Raw Results'!$E$7:$E$62&lt;A23))/COUNTIF('Raw Results'!$C$7:$C$62,"UNKNOWN")</f>
        <v>1</v>
      </c>
      <c r="D23" s="25" t="n">
        <f aca="false">(SUMPRODUCT(('Raw Results'!$C$7:$C$62&lt;&gt;"UNKNOWN")*('Raw Results'!$E$7:$E$62&gt;=A23)*('Raw Results'!$D$7:$D$62='Raw Results'!$C$7:$C$62))+SUMPRODUCT(('Raw Results'!$C$7:$C$62="UNKNOWN")*('Raw Results'!$E$7:$E$62&lt;A23)))/56</f>
        <v>0.857142857142857</v>
      </c>
    </row>
    <row r="24" customFormat="false" ht="15" hidden="false" customHeight="false" outlineLevel="0" collapsed="false">
      <c r="A24" s="26" t="n">
        <v>0.58</v>
      </c>
      <c r="B24" s="27" t="n">
        <f aca="false">SUMPRODUCT(('Raw Results'!$C$7:$C$62&lt;&gt;"UNKNOWN")*('Raw Results'!$E$7:$E$62&gt;=A24)*('Raw Results'!$D$7:$D$62='Raw Results'!$C$7:$C$62))/COUNTIF('Raw Results'!$C$7:$C$62,"&lt;&gt;UNKNOWN")</f>
        <v>0.775</v>
      </c>
      <c r="C24" s="27" t="n">
        <f aca="false">SUMPRODUCT(('Raw Results'!$C$7:$C$62="UNKNOWN")*('Raw Results'!$E$7:$E$62&lt;A24))/COUNTIF('Raw Results'!$C$7:$C$62,"UNKNOWN")</f>
        <v>1</v>
      </c>
      <c r="D24" s="27" t="n">
        <f aca="false">(SUMPRODUCT(('Raw Results'!$C$7:$C$62&lt;&gt;"UNKNOWN")*('Raw Results'!$E$7:$E$62&gt;=A24)*('Raw Results'!$D$7:$D$62='Raw Results'!$C$7:$C$62))+SUMPRODUCT(('Raw Results'!$C$7:$C$62="UNKNOWN")*('Raw Results'!$E$7:$E$62&lt;A24)))/56</f>
        <v>0.839285714285714</v>
      </c>
    </row>
    <row r="25" customFormat="false" ht="15" hidden="false" customHeight="false" outlineLevel="0" collapsed="false">
      <c r="A25" s="24" t="n">
        <v>0.6</v>
      </c>
      <c r="B25" s="25" t="n">
        <f aca="false">SUMPRODUCT(('Raw Results'!$C$7:$C$62&lt;&gt;"UNKNOWN")*('Raw Results'!$E$7:$E$62&gt;=A25)*('Raw Results'!$D$7:$D$62='Raw Results'!$C$7:$C$62))/COUNTIF('Raw Results'!$C$7:$C$62,"&lt;&gt;UNKNOWN")</f>
        <v>0.7</v>
      </c>
      <c r="C25" s="25" t="n">
        <f aca="false">SUMPRODUCT(('Raw Results'!$C$7:$C$62="UNKNOWN")*('Raw Results'!$E$7:$E$62&lt;A25))/COUNTIF('Raw Results'!$C$7:$C$62,"UNKNOWN")</f>
        <v>1</v>
      </c>
      <c r="D25" s="25" t="n">
        <f aca="false">(SUMPRODUCT(('Raw Results'!$C$7:$C$62&lt;&gt;"UNKNOWN")*('Raw Results'!$E$7:$E$62&gt;=A25)*('Raw Results'!$D$7:$D$62='Raw Results'!$C$7:$C$62))+SUMPRODUCT(('Raw Results'!$C$7:$C$62="UNKNOWN")*('Raw Results'!$E$7:$E$62&lt;A25)))/56</f>
        <v>0.785714285714286</v>
      </c>
    </row>
    <row r="26" customFormat="false" ht="15" hidden="false" customHeight="false" outlineLevel="0" collapsed="false">
      <c r="A26" s="26" t="n">
        <v>0.62</v>
      </c>
      <c r="B26" s="27" t="n">
        <f aca="false">SUMPRODUCT(('Raw Results'!$C$7:$C$62&lt;&gt;"UNKNOWN")*('Raw Results'!$E$7:$E$62&gt;=A26)*('Raw Results'!$D$7:$D$62='Raw Results'!$C$7:$C$62))/COUNTIF('Raw Results'!$C$7:$C$62,"&lt;&gt;UNKNOWN")</f>
        <v>0.625</v>
      </c>
      <c r="C26" s="27" t="n">
        <f aca="false">SUMPRODUCT(('Raw Results'!$C$7:$C$62="UNKNOWN")*('Raw Results'!$E$7:$E$62&lt;A26))/COUNTIF('Raw Results'!$C$7:$C$62,"UNKNOWN")</f>
        <v>1</v>
      </c>
      <c r="D26" s="27" t="n">
        <f aca="false">(SUMPRODUCT(('Raw Results'!$C$7:$C$62&lt;&gt;"UNKNOWN")*('Raw Results'!$E$7:$E$62&gt;=A26)*('Raw Results'!$D$7:$D$62='Raw Results'!$C$7:$C$62))+SUMPRODUCT(('Raw Results'!$C$7:$C$62="UNKNOWN")*('Raw Results'!$E$7:$E$62&lt;A26)))/56</f>
        <v>0.732142857142857</v>
      </c>
    </row>
    <row r="27" customFormat="false" ht="15" hidden="false" customHeight="false" outlineLevel="0" collapsed="false">
      <c r="A27" s="24" t="n">
        <v>0.64</v>
      </c>
      <c r="B27" s="25" t="n">
        <f aca="false">SUMPRODUCT(('Raw Results'!$C$7:$C$62&lt;&gt;"UNKNOWN")*('Raw Results'!$E$7:$E$62&gt;=A27)*('Raw Results'!$D$7:$D$62='Raw Results'!$C$7:$C$62))/COUNTIF('Raw Results'!$C$7:$C$62,"&lt;&gt;UNKNOWN")</f>
        <v>0.55</v>
      </c>
      <c r="C27" s="25" t="n">
        <f aca="false">SUMPRODUCT(('Raw Results'!$C$7:$C$62="UNKNOWN")*('Raw Results'!$E$7:$E$62&lt;A27))/COUNTIF('Raw Results'!$C$7:$C$62,"UNKNOWN")</f>
        <v>1</v>
      </c>
      <c r="D27" s="25" t="n">
        <f aca="false">(SUMPRODUCT(('Raw Results'!$C$7:$C$62&lt;&gt;"UNKNOWN")*('Raw Results'!$E$7:$E$62&gt;=A27)*('Raw Results'!$D$7:$D$62='Raw Results'!$C$7:$C$62))+SUMPRODUCT(('Raw Results'!$C$7:$C$62="UNKNOWN")*('Raw Results'!$E$7:$E$62&lt;A27)))/56</f>
        <v>0.678571428571429</v>
      </c>
    </row>
    <row r="28" customFormat="false" ht="15" hidden="false" customHeight="false" outlineLevel="0" collapsed="false">
      <c r="A28" s="26" t="n">
        <v>0.66</v>
      </c>
      <c r="B28" s="27" t="n">
        <f aca="false">SUMPRODUCT(('Raw Results'!$C$7:$C$62&lt;&gt;"UNKNOWN")*('Raw Results'!$E$7:$E$62&gt;=A28)*('Raw Results'!$D$7:$D$62='Raw Results'!$C$7:$C$62))/COUNTIF('Raw Results'!$C$7:$C$62,"&lt;&gt;UNKNOWN")</f>
        <v>0.525</v>
      </c>
      <c r="C28" s="27" t="n">
        <f aca="false">SUMPRODUCT(('Raw Results'!$C$7:$C$62="UNKNOWN")*('Raw Results'!$E$7:$E$62&lt;A28))/COUNTIF('Raw Results'!$C$7:$C$62,"UNKNOWN")</f>
        <v>1</v>
      </c>
      <c r="D28" s="27" t="n">
        <f aca="false">(SUMPRODUCT(('Raw Results'!$C$7:$C$62&lt;&gt;"UNKNOWN")*('Raw Results'!$E$7:$E$62&gt;=A28)*('Raw Results'!$D$7:$D$62='Raw Results'!$C$7:$C$62))+SUMPRODUCT(('Raw Results'!$C$7:$C$62="UNKNOWN")*('Raw Results'!$E$7:$E$62&lt;A28)))/56</f>
        <v>0.660714285714286</v>
      </c>
    </row>
    <row r="29" customFormat="false" ht="15" hidden="false" customHeight="false" outlineLevel="0" collapsed="false">
      <c r="A29" s="24" t="n">
        <v>0.68</v>
      </c>
      <c r="B29" s="25" t="n">
        <f aca="false">SUMPRODUCT(('Raw Results'!$C$7:$C$62&lt;&gt;"UNKNOWN")*('Raw Results'!$E$7:$E$62&gt;=A29)*('Raw Results'!$D$7:$D$62='Raw Results'!$C$7:$C$62))/COUNTIF('Raw Results'!$C$7:$C$62,"&lt;&gt;UNKNOWN")</f>
        <v>0.425</v>
      </c>
      <c r="C29" s="25" t="n">
        <f aca="false">SUMPRODUCT(('Raw Results'!$C$7:$C$62="UNKNOWN")*('Raw Results'!$E$7:$E$62&lt;A29))/COUNTIF('Raw Results'!$C$7:$C$62,"UNKNOWN")</f>
        <v>1</v>
      </c>
      <c r="D29" s="25" t="n">
        <f aca="false">(SUMPRODUCT(('Raw Results'!$C$7:$C$62&lt;&gt;"UNKNOWN")*('Raw Results'!$E$7:$E$62&gt;=A29)*('Raw Results'!$D$7:$D$62='Raw Results'!$C$7:$C$62))+SUMPRODUCT(('Raw Results'!$C$7:$C$62="UNKNOWN")*('Raw Results'!$E$7:$E$62&lt;A29)))/56</f>
        <v>0.589285714285714</v>
      </c>
    </row>
    <row r="30" customFormat="false" ht="15" hidden="false" customHeight="false" outlineLevel="0" collapsed="false">
      <c r="A30" s="26" t="n">
        <v>0.7</v>
      </c>
      <c r="B30" s="27" t="n">
        <f aca="false">SUMPRODUCT(('Raw Results'!$C$7:$C$62&lt;&gt;"UNKNOWN")*('Raw Results'!$E$7:$E$62&gt;=A30)*('Raw Results'!$D$7:$D$62='Raw Results'!$C$7:$C$62))/COUNTIF('Raw Results'!$C$7:$C$62,"&lt;&gt;UNKNOWN")</f>
        <v>0.375</v>
      </c>
      <c r="C30" s="27" t="n">
        <f aca="false">SUMPRODUCT(('Raw Results'!$C$7:$C$62="UNKNOWN")*('Raw Results'!$E$7:$E$62&lt;A30))/COUNTIF('Raw Results'!$C$7:$C$62,"UNKNOWN")</f>
        <v>1</v>
      </c>
      <c r="D30" s="27" t="n">
        <f aca="false">(SUMPRODUCT(('Raw Results'!$C$7:$C$62&lt;&gt;"UNKNOWN")*('Raw Results'!$E$7:$E$62&gt;=A30)*('Raw Results'!$D$7:$D$62='Raw Results'!$C$7:$C$62))+SUMPRODUCT(('Raw Results'!$C$7:$C$62="UNKNOWN")*('Raw Results'!$E$7:$E$62&lt;A30)))/56</f>
        <v>0.553571428571429</v>
      </c>
    </row>
    <row r="31" customFormat="false" ht="15" hidden="false" customHeight="false" outlineLevel="0" collapsed="false">
      <c r="A31" s="24" t="n">
        <v>0.72</v>
      </c>
      <c r="B31" s="25" t="n">
        <f aca="false">SUMPRODUCT(('Raw Results'!$C$7:$C$62&lt;&gt;"UNKNOWN")*('Raw Results'!$E$7:$E$62&gt;=A31)*('Raw Results'!$D$7:$D$62='Raw Results'!$C$7:$C$62))/COUNTIF('Raw Results'!$C$7:$C$62,"&lt;&gt;UNKNOWN")</f>
        <v>0.3</v>
      </c>
      <c r="C31" s="25" t="n">
        <f aca="false">SUMPRODUCT(('Raw Results'!$C$7:$C$62="UNKNOWN")*('Raw Results'!$E$7:$E$62&lt;A31))/COUNTIF('Raw Results'!$C$7:$C$62,"UNKNOWN")</f>
        <v>1</v>
      </c>
      <c r="D31" s="25" t="n">
        <f aca="false">(SUMPRODUCT(('Raw Results'!$C$7:$C$62&lt;&gt;"UNKNOWN")*('Raw Results'!$E$7:$E$62&gt;=A31)*('Raw Results'!$D$7:$D$62='Raw Results'!$C$7:$C$62))+SUMPRODUCT(('Raw Results'!$C$7:$C$62="UNKNOWN")*('Raw Results'!$E$7:$E$62&lt;A31)))/56</f>
        <v>0.5</v>
      </c>
    </row>
    <row r="32" customFormat="false" ht="15" hidden="false" customHeight="false" outlineLevel="0" collapsed="false">
      <c r="A32" s="26" t="n">
        <v>0.74</v>
      </c>
      <c r="B32" s="27" t="n">
        <f aca="false">SUMPRODUCT(('Raw Results'!$C$7:$C$62&lt;&gt;"UNKNOWN")*('Raw Results'!$E$7:$E$62&gt;=A32)*('Raw Results'!$D$7:$D$62='Raw Results'!$C$7:$C$62))/COUNTIF('Raw Results'!$C$7:$C$62,"&lt;&gt;UNKNOWN")</f>
        <v>0.3</v>
      </c>
      <c r="C32" s="27" t="n">
        <f aca="false">SUMPRODUCT(('Raw Results'!$C$7:$C$62="UNKNOWN")*('Raw Results'!$E$7:$E$62&lt;A32))/COUNTIF('Raw Results'!$C$7:$C$62,"UNKNOWN")</f>
        <v>1</v>
      </c>
      <c r="D32" s="27" t="n">
        <f aca="false">(SUMPRODUCT(('Raw Results'!$C$7:$C$62&lt;&gt;"UNKNOWN")*('Raw Results'!$E$7:$E$62&gt;=A32)*('Raw Results'!$D$7:$D$62='Raw Results'!$C$7:$C$62))+SUMPRODUCT(('Raw Results'!$C$7:$C$62="UNKNOWN")*('Raw Results'!$E$7:$E$62&lt;A32)))/56</f>
        <v>0.5</v>
      </c>
    </row>
    <row r="33" customFormat="false" ht="15" hidden="false" customHeight="false" outlineLevel="0" collapsed="false">
      <c r="A33" s="24" t="n">
        <v>0.76</v>
      </c>
      <c r="B33" s="25" t="n">
        <f aca="false">SUMPRODUCT(('Raw Results'!$C$7:$C$62&lt;&gt;"UNKNOWN")*('Raw Results'!$E$7:$E$62&gt;=A33)*('Raw Results'!$D$7:$D$62='Raw Results'!$C$7:$C$62))/COUNTIF('Raw Results'!$C$7:$C$62,"&lt;&gt;UNKNOWN")</f>
        <v>0.25</v>
      </c>
      <c r="C33" s="25" t="n">
        <f aca="false">SUMPRODUCT(('Raw Results'!$C$7:$C$62="UNKNOWN")*('Raw Results'!$E$7:$E$62&lt;A33))/COUNTIF('Raw Results'!$C$7:$C$62,"UNKNOWN")</f>
        <v>1</v>
      </c>
      <c r="D33" s="25" t="n">
        <f aca="false">(SUMPRODUCT(('Raw Results'!$C$7:$C$62&lt;&gt;"UNKNOWN")*('Raw Results'!$E$7:$E$62&gt;=A33)*('Raw Results'!$D$7:$D$62='Raw Results'!$C$7:$C$62))+SUMPRODUCT(('Raw Results'!$C$7:$C$62="UNKNOWN")*('Raw Results'!$E$7:$E$62&lt;A33)))/56</f>
        <v>0.464285714285714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16.15" hidden="false" customHeight="false" outlineLevel="0" collapsed="false">
      <c r="A1" s="10" t="s">
        <v>57</v>
      </c>
    </row>
    <row r="2" customFormat="false" ht="15" hidden="false" customHeight="false" outlineLevel="0" collapsed="false">
      <c r="A2" s="8" t="s">
        <v>58</v>
      </c>
      <c r="B2" s="8"/>
      <c r="C2" s="8"/>
    </row>
    <row r="4" customFormat="false" ht="23.85" hidden="false" customHeight="false" outlineLevel="0" collapsed="false">
      <c r="A4" s="3" t="s">
        <v>16</v>
      </c>
      <c r="B4" s="3" t="s">
        <v>59</v>
      </c>
      <c r="C4" s="3" t="s">
        <v>60</v>
      </c>
    </row>
    <row r="5" customFormat="false" ht="15" hidden="false" customHeight="false" outlineLevel="0" collapsed="false">
      <c r="A5" s="28" t="s">
        <v>25</v>
      </c>
      <c r="B5" s="29" t="n">
        <f aca="false">SUMPRODUCT(('Raw Results'!$C$7:$C$62&lt;&gt;"UNKNOWN")*('Raw Results'!$B$7:$B$62=A5)*('Raw Results'!$E$7:$E$62&gt;='Raw Results'!$B$3)*('Raw Results'!$D$7:$D$62='Raw Results'!$C$7:$C$62))/SUMPRODUCT(('Raw Results'!$C$7:$C$62&lt;&gt;"UNKNOWN")*('Raw Results'!$B$7:$B$62=A5))</f>
        <v>0.2</v>
      </c>
      <c r="C5" s="29" t="n">
        <f aca="false">SUMPRODUCT(('Raw Results'!$C$7:$C$62&lt;&gt;"UNKNOWN")*('Raw Results'!$B$7:$B$62=A5)*('Raw Results'!$E$7:$E$62&gt;='Raw Results'!$B$4)*('Raw Results'!$D$7:$D$62='Raw Results'!$C$7:$C$62))/SUMPRODUCT(('Raw Results'!$C$7:$C$62&lt;&gt;"UNKNOWN")*('Raw Results'!$B$7:$B$62=A5))</f>
        <v>1</v>
      </c>
    </row>
    <row r="6" customFormat="false" ht="15" hidden="false" customHeight="false" outlineLevel="0" collapsed="false">
      <c r="A6" s="30" t="s">
        <v>42</v>
      </c>
      <c r="B6" s="31" t="n">
        <f aca="false">SUMPRODUCT(('Raw Results'!$C$7:$C$62&lt;&gt;"UNKNOWN")*('Raw Results'!$B$7:$B$62=A6)*('Raw Results'!$E$7:$E$62&gt;='Raw Results'!$B$3)*('Raw Results'!$D$7:$D$62='Raw Results'!$C$7:$C$62))/SUMPRODUCT(('Raw Results'!$C$7:$C$62&lt;&gt;"UNKNOWN")*('Raw Results'!$B$7:$B$62=A6))</f>
        <v>0.3</v>
      </c>
      <c r="C6" s="31" t="n">
        <f aca="false">SUMPRODUCT(('Raw Results'!$C$7:$C$62&lt;&gt;"UNKNOWN")*('Raw Results'!$B$7:$B$62=A6)*('Raw Results'!$E$7:$E$62&gt;='Raw Results'!$B$4)*('Raw Results'!$D$7:$D$62='Raw Results'!$C$7:$C$62))/SUMPRODUCT(('Raw Results'!$C$7:$C$62&lt;&gt;"UNKNOWN")*('Raw Results'!$B$7:$B$62=A6))</f>
        <v>1</v>
      </c>
    </row>
    <row r="7" customFormat="false" ht="15" hidden="false" customHeight="false" outlineLevel="0" collapsed="false">
      <c r="A7" s="28" t="s">
        <v>43</v>
      </c>
      <c r="B7" s="29" t="n">
        <f aca="false">SUMPRODUCT(('Raw Results'!$C$7:$C$62&lt;&gt;"UNKNOWN")*('Raw Results'!$B$7:$B$62=A7)*('Raw Results'!$E$7:$E$62&gt;='Raw Results'!$B$3)*('Raw Results'!$D$7:$D$62='Raw Results'!$C$7:$C$62))/SUMPRODUCT(('Raw Results'!$C$7:$C$62&lt;&gt;"UNKNOWN")*('Raw Results'!$B$7:$B$62=A7))</f>
        <v>0.6</v>
      </c>
      <c r="C7" s="29" t="n">
        <f aca="false">SUMPRODUCT(('Raw Results'!$C$7:$C$62&lt;&gt;"UNKNOWN")*('Raw Results'!$B$7:$B$62=A7)*('Raw Results'!$E$7:$E$62&gt;='Raw Results'!$B$4)*('Raw Results'!$D$7:$D$62='Raw Results'!$C$7:$C$62))/SUMPRODUCT(('Raw Results'!$C$7:$C$62&lt;&gt;"UNKNOWN")*('Raw Results'!$B$7:$B$62=A7))</f>
        <v>1</v>
      </c>
    </row>
    <row r="8" customFormat="false" ht="15" hidden="false" customHeight="false" outlineLevel="0" collapsed="false">
      <c r="A8" s="30" t="s">
        <v>44</v>
      </c>
      <c r="B8" s="31" t="n">
        <f aca="false">SUMPRODUCT(('Raw Results'!$C$7:$C$62&lt;&gt;"UNKNOWN")*('Raw Results'!$B$7:$B$62=A8)*('Raw Results'!$E$7:$E$62&gt;='Raw Results'!$B$3)*('Raw Results'!$D$7:$D$62='Raw Results'!$C$7:$C$62))/SUMPRODUCT(('Raw Results'!$C$7:$C$62&lt;&gt;"UNKNOWN")*('Raw Results'!$B$7:$B$62=A8))</f>
        <v>0.4</v>
      </c>
      <c r="C8" s="31" t="n">
        <f aca="false">SUMPRODUCT(('Raw Results'!$C$7:$C$62&lt;&gt;"UNKNOWN")*('Raw Results'!$B$7:$B$62=A8)*('Raw Results'!$E$7:$E$62&gt;='Raw Results'!$B$4)*('Raw Results'!$D$7:$D$62='Raw Results'!$C$7:$C$62))/SUMPRODUCT(('Raw Results'!$C$7:$C$62&lt;&gt;"UNKNOWN")*('Raw Results'!$B$7:$B$62=A8))</f>
        <v>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2026-09-20T14:55:39Z</dcterms:created>
  <dc:creator>openpyxl</dc:creator>
  <dc:description/>
  <dc:language>en-US</dc:language>
  <cp:lastModifiedBy/>
  <dcterms:modified xsi:type="dcterms:W3CDTF">2026-09-20T14:55:50Z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